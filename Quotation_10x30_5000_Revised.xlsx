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全纸筒核价表" sheetId="6" r:id="rId1"/>
    <sheet name="铁盖纸筒核价表" sheetId="1" r:id="rId2"/>
    <sheet name="Sheet2" sheetId="2" r:id="rId3"/>
    <sheet name="铁盖价格表" sheetId="4" r:id="rId4"/>
    <sheet name="面纸开数" sheetId="5" r:id="rId5"/>
    <sheet name="印面价格" sheetId="7" r:id="rId6"/>
    <sheet name="印面价格2" sheetId="8" r:id="rId7"/>
    <sheet name="各类纸筒价格对比表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<sst xmlns="http://schemas.openxmlformats.org/spreadsheetml/2006/main" count="1649" uniqueCount="362">
  <si>
    <t>正规（787*1089）/大规（889*1192）</t>
  </si>
  <si>
    <t>东嘉纸罐核价系统（内部使用）</t>
  </si>
  <si>
    <t>纸张开数计算器（cm）</t>
  </si>
  <si>
    <t>注意：白色框的各种价格和参数要自己输入！灰色部稍做修改，算工资更准。输完按回车就行！</t>
  </si>
  <si>
    <t>长</t>
  </si>
  <si>
    <t>宽</t>
  </si>
  <si>
    <t>拉管一小时　￥/米</t>
  </si>
  <si>
    <t>修头工资</t>
  </si>
  <si>
    <t>封盖：一天填多少次</t>
  </si>
  <si>
    <t>直径（CM）</t>
  </si>
  <si>
    <t>高度（CM）</t>
  </si>
  <si>
    <t>数量</t>
  </si>
  <si>
    <t>亚膜0.5/亮膜0.4</t>
  </si>
  <si>
    <t>内管长度</t>
  </si>
  <si>
    <t>内管是1/否0卷边</t>
  </si>
  <si>
    <t>热熔胶￥元/平方</t>
  </si>
  <si>
    <t>1小时工次</t>
  </si>
  <si>
    <t>米数</t>
  </si>
  <si>
    <t>1天工资</t>
  </si>
  <si>
    <t>1天次数</t>
  </si>
  <si>
    <t>正规</t>
  </si>
  <si>
    <t>大规</t>
  </si>
  <si>
    <t>卷边：一天多少次</t>
  </si>
  <si>
    <t>装配工资</t>
  </si>
  <si>
    <t>　　　　　　纸张开数计算器（cm）　　　　</t>
  </si>
  <si>
    <t>印张拼几个</t>
  </si>
  <si>
    <t>纸张价格设置</t>
  </si>
  <si>
    <t>贴标工资</t>
  </si>
  <si>
    <t>厂租费用</t>
  </si>
  <si>
    <t>正规价格</t>
  </si>
  <si>
    <t>1天个数</t>
  </si>
  <si>
    <t>1天费用</t>
  </si>
  <si>
    <t>大规价格</t>
  </si>
  <si>
    <t>成本：</t>
  </si>
  <si>
    <t>更划算是</t>
  </si>
  <si>
    <t>上下卷边全纸罐</t>
  </si>
  <si>
    <t>印面内有几个</t>
  </si>
  <si>
    <t>纸管成本</t>
  </si>
  <si>
    <t>圆片成本/其它配件</t>
  </si>
  <si>
    <t>面纸</t>
  </si>
  <si>
    <t xml:space="preserve">                   　　　纸箱   　　 箱规格（cm）</t>
  </si>
  <si>
    <t>工资</t>
  </si>
  <si>
    <t>运费</t>
  </si>
  <si>
    <t>外管每平方/元</t>
  </si>
  <si>
    <t>注意：</t>
  </si>
  <si>
    <t>注意：纸板4-5元，具体视情况而定</t>
  </si>
  <si>
    <r>
      <rPr>
        <sz val="10"/>
        <color theme="1"/>
        <rFont val="宋体"/>
        <charset val="134"/>
        <scheme val="minor"/>
      </rPr>
      <t>纸张费用：用纸张开数器自己算一下填入</t>
    </r>
    <r>
      <rPr>
        <sz val="16"/>
        <color theme="1"/>
        <rFont val="Arial"/>
        <charset val="134"/>
      </rPr>
      <t>↑</t>
    </r>
  </si>
  <si>
    <t>注意：工资要自己社情况输入</t>
  </si>
  <si>
    <t>注意：￥/立方米自己填</t>
  </si>
  <si>
    <t>每平/克重</t>
  </si>
  <si>
    <t>￥/吨</t>
  </si>
  <si>
    <t>张数</t>
  </si>
  <si>
    <t>￥/平方米</t>
  </si>
  <si>
    <t>损耗率</t>
  </si>
  <si>
    <t>外管圆周面积</t>
  </si>
  <si>
    <t>圆片面积2片</t>
  </si>
  <si>
    <t>单面纸长度（供参考）</t>
  </si>
  <si>
    <t>横排数</t>
  </si>
  <si>
    <t>CM</t>
  </si>
  <si>
    <t>拉管工资</t>
  </si>
  <si>
    <t>每箱立方数</t>
  </si>
  <si>
    <t>外管平方价格</t>
  </si>
  <si>
    <t>纸板￥元/平</t>
  </si>
  <si>
    <t>单面纸宽度（供参考）</t>
  </si>
  <si>
    <t>坚排数</t>
  </si>
  <si>
    <t>切管工资</t>
  </si>
  <si>
    <t>￥/立方米：</t>
  </si>
  <si>
    <t>参考价格：</t>
  </si>
  <si>
    <t>圆片价格</t>
  </si>
  <si>
    <t>印面里面能拼几个</t>
  </si>
  <si>
    <t>高排数</t>
  </si>
  <si>
    <t>每箱运费：</t>
  </si>
  <si>
    <t>外管价格：</t>
  </si>
  <si>
    <t>贴+冲压1</t>
  </si>
  <si>
    <t>计算器算的费用</t>
  </si>
  <si>
    <t>装箱总数：</t>
  </si>
  <si>
    <t>卷边工资</t>
  </si>
  <si>
    <t>每个运费：</t>
  </si>
  <si>
    <t>内管圆周面积</t>
  </si>
  <si>
    <t>其它配件1</t>
  </si>
  <si>
    <t>纸张费用</t>
  </si>
  <si>
    <t>纸箱平方数</t>
  </si>
  <si>
    <t>/平方</t>
  </si>
  <si>
    <t>卷边次数</t>
  </si>
  <si>
    <t>合计：</t>
  </si>
  <si>
    <t>每管平方价格</t>
  </si>
  <si>
    <t>其它配件2</t>
  </si>
  <si>
    <t>复膜费用</t>
  </si>
  <si>
    <t>一个纸箱价格：</t>
  </si>
  <si>
    <t>卷边总费用</t>
  </si>
  <si>
    <t>总方数可用于包车参考</t>
  </si>
  <si>
    <t>内管每平方/元</t>
  </si>
  <si>
    <t>其它配件3</t>
  </si>
  <si>
    <t>印刷费用</t>
  </si>
  <si>
    <t>一个纸罐需：</t>
  </si>
  <si>
    <t>按圆片费用：</t>
  </si>
  <si>
    <t>总方数：</t>
  </si>
  <si>
    <t>内管价格：</t>
  </si>
  <si>
    <t>其它配件4</t>
  </si>
  <si>
    <t>烫金</t>
  </si>
  <si>
    <t>装配费用：</t>
  </si>
  <si>
    <t>包车费用：</t>
  </si>
  <si>
    <t>其它配件5</t>
  </si>
  <si>
    <t>ＵＶ</t>
  </si>
  <si>
    <t>打包工资</t>
  </si>
  <si>
    <t>包车每个费用</t>
  </si>
  <si>
    <t>热熔胶成本</t>
  </si>
  <si>
    <t>凸出</t>
  </si>
  <si>
    <t>厂租+电费：</t>
  </si>
  <si>
    <t>其它费用</t>
  </si>
  <si>
    <t>第三用管每平方/元</t>
  </si>
  <si>
    <t>合计</t>
  </si>
  <si>
    <t>纸管+胶成本</t>
  </si>
  <si>
    <t>圆片+配件</t>
  </si>
  <si>
    <t>纸箱费用</t>
  </si>
  <si>
    <t>加工工资</t>
  </si>
  <si>
    <t>总成本</t>
  </si>
  <si>
    <t>自动成本核算</t>
  </si>
  <si>
    <t>手工成本核算</t>
  </si>
  <si>
    <r>
      <rPr>
        <sz val="11"/>
        <color theme="1"/>
        <rFont val="宋体"/>
        <charset val="134"/>
        <scheme val="minor"/>
      </rPr>
      <t>　　　　　</t>
    </r>
    <r>
      <rPr>
        <sz val="11"/>
        <color rgb="FFFF0000"/>
        <rFont val="宋体"/>
        <charset val="134"/>
        <scheme val="minor"/>
      </rPr>
      <t>　纸张开数计算器（cm）　　</t>
    </r>
    <r>
      <rPr>
        <sz val="11"/>
        <color theme="1"/>
        <rFont val="宋体"/>
        <charset val="134"/>
        <scheme val="minor"/>
      </rPr>
      <t>　　</t>
    </r>
  </si>
  <si>
    <t>天地盖型全纸罐</t>
  </si>
  <si>
    <t>纸张费用：用纸张开数器自己算一下填入</t>
  </si>
  <si>
    <t>箱板价格3.5-4</t>
  </si>
  <si>
    <t>圆片面积</t>
  </si>
  <si>
    <t>内管平方价格</t>
  </si>
  <si>
    <t>组装费用</t>
  </si>
  <si>
    <t>有一些项目需要手工计算（大部分可参考自动核算的）</t>
  </si>
  <si>
    <r>
      <rPr>
        <sz val="20"/>
        <color theme="1"/>
        <rFont val="方正粗黑宋简体"/>
        <charset val="134"/>
      </rPr>
      <t>东嘉纸罐核价系统（内部使用）</t>
    </r>
    <r>
      <rPr>
        <sz val="12"/>
        <color theme="1"/>
        <rFont val="宋体"/>
        <charset val="134"/>
        <scheme val="minor"/>
      </rPr>
      <t>13566116326</t>
    </r>
  </si>
  <si>
    <t>注意：白色框的各种价格和参数要自己输入！灰色部参数也可调节，算工资更准。输完按回车就行！其它颜色不要点。</t>
  </si>
  <si>
    <t>纸张开数计算器（mm）</t>
  </si>
  <si>
    <t>铁盖规格查找</t>
  </si>
  <si>
    <t>.</t>
  </si>
  <si>
    <t>单筒打铁盖</t>
  </si>
  <si>
    <t>铁盖成本/其它配件</t>
  </si>
  <si>
    <t xml:space="preserve">                    纸箱    　　　　　箱规格（cm）</t>
  </si>
  <si>
    <t>直径</t>
  </si>
  <si>
    <t>底盖参考价</t>
  </si>
  <si>
    <t>注意事项：如果特种纸可以价格/总开数</t>
  </si>
  <si>
    <t>注意：工资要自己视情况输入</t>
  </si>
  <si>
    <t>高度</t>
  </si>
  <si>
    <t>底盖</t>
  </si>
  <si>
    <t>印面规格：</t>
  </si>
  <si>
    <t>圆周面积</t>
  </si>
  <si>
    <t>拉深盖参考价</t>
  </si>
  <si>
    <t>长度</t>
  </si>
  <si>
    <t>宽度</t>
  </si>
  <si>
    <t>每平方价格</t>
  </si>
  <si>
    <t>拉深盖</t>
  </si>
  <si>
    <t>贴标工资：</t>
  </si>
  <si>
    <t>珍珠棉垫</t>
  </si>
  <si>
    <t>本张纸拼几个</t>
  </si>
  <si>
    <t>封盖工资</t>
  </si>
  <si>
    <t>纸管成本：</t>
  </si>
  <si>
    <t>纸箱多少￥/平方</t>
  </si>
  <si>
    <t>3.5-4.5</t>
  </si>
  <si>
    <t>盖盖子工资</t>
  </si>
  <si>
    <t>单张参考价格：</t>
  </si>
  <si>
    <t>每个纸管需：￥</t>
  </si>
  <si>
    <t>单张价格：</t>
  </si>
  <si>
    <t>复膜</t>
  </si>
  <si>
    <t>其它费用：</t>
  </si>
  <si>
    <t>印刷</t>
  </si>
  <si>
    <t>UV</t>
  </si>
  <si>
    <t>总计</t>
  </si>
  <si>
    <t>铁盖+配件</t>
  </si>
  <si>
    <t>纸箱成本</t>
  </si>
  <si>
    <t>铁盖价格</t>
  </si>
  <si>
    <t>1天数量</t>
  </si>
  <si>
    <t>底盖价格</t>
  </si>
  <si>
    <t>拉深盖价格</t>
  </si>
  <si>
    <t>型号</t>
  </si>
  <si>
    <t>单价（金银色）</t>
  </si>
  <si>
    <t>单价（黑金色）</t>
  </si>
  <si>
    <t>单价（黑银色）</t>
  </si>
  <si>
    <t>子母口（金银色）三件套</t>
  </si>
  <si>
    <t>上下马口铁盖纸罐</t>
  </si>
  <si>
    <t>手工查找（mm）</t>
  </si>
  <si>
    <t>拉伸盖</t>
  </si>
  <si>
    <t>黑底盖</t>
  </si>
  <si>
    <t>黑拉深</t>
  </si>
  <si>
    <t>注意：如果特种纸可以价格/总开数</t>
  </si>
  <si>
    <t>铁盖参考价</t>
  </si>
  <si>
    <t>上盖价格</t>
  </si>
  <si>
    <t>下盖价格</t>
  </si>
  <si>
    <t>封盖工资2个</t>
  </si>
  <si>
    <t>切盖工资：</t>
  </si>
  <si>
    <t>产品类型</t>
  </si>
  <si>
    <t>内管卷边工资：</t>
  </si>
  <si>
    <t>平底</t>
  </si>
  <si>
    <t>33平底</t>
  </si>
  <si>
    <t>0.05元</t>
  </si>
  <si>
    <t>33黑底</t>
  </si>
  <si>
    <t>0.06元</t>
  </si>
  <si>
    <t>装配工资：</t>
  </si>
  <si>
    <t>扣盖</t>
  </si>
  <si>
    <t>40平底</t>
  </si>
  <si>
    <t>0.10元</t>
  </si>
  <si>
    <t>40黑底</t>
  </si>
  <si>
    <t>0.07元</t>
  </si>
  <si>
    <t>0.11元</t>
  </si>
  <si>
    <t>打包工资：</t>
  </si>
  <si>
    <t>子母口</t>
  </si>
  <si>
    <t>43平底</t>
  </si>
  <si>
    <t>0.065元</t>
  </si>
  <si>
    <t>43黑底</t>
  </si>
  <si>
    <t>0.075元</t>
  </si>
  <si>
    <t>45平底</t>
  </si>
  <si>
    <t>0.08元</t>
  </si>
  <si>
    <t>45黑底</t>
  </si>
  <si>
    <t>0.12元</t>
  </si>
  <si>
    <t>46平底</t>
  </si>
  <si>
    <t>0.055元</t>
  </si>
  <si>
    <t>46黑底</t>
  </si>
  <si>
    <t>0.085元</t>
  </si>
  <si>
    <t>52平底</t>
  </si>
  <si>
    <t>52黑底</t>
  </si>
  <si>
    <t>53平底</t>
  </si>
  <si>
    <t>53黑底</t>
  </si>
  <si>
    <t>0.09元</t>
  </si>
  <si>
    <t>0.13元</t>
  </si>
  <si>
    <t>其它</t>
  </si>
  <si>
    <t>56平底</t>
  </si>
  <si>
    <t>0.095元</t>
  </si>
  <si>
    <t>56黑底</t>
  </si>
  <si>
    <t>0.14元</t>
  </si>
  <si>
    <t>60平底</t>
  </si>
  <si>
    <t>0.105元</t>
  </si>
  <si>
    <t>60黑底</t>
  </si>
  <si>
    <t>63平底</t>
  </si>
  <si>
    <t>0.15元</t>
  </si>
  <si>
    <t>63黑底</t>
  </si>
  <si>
    <t>0.16元</t>
  </si>
  <si>
    <t>65平底</t>
  </si>
  <si>
    <t>65黑底</t>
  </si>
  <si>
    <t>68平底</t>
  </si>
  <si>
    <t>0.115元</t>
  </si>
  <si>
    <t>68黑底</t>
  </si>
  <si>
    <t>73平底</t>
  </si>
  <si>
    <t>0.17元</t>
  </si>
  <si>
    <t>73黑底</t>
  </si>
  <si>
    <t>0.18元</t>
  </si>
  <si>
    <t>73子母盖</t>
  </si>
  <si>
    <t>0.38元</t>
  </si>
  <si>
    <t>76平底</t>
  </si>
  <si>
    <t>0.125元</t>
  </si>
  <si>
    <t>76黑底</t>
  </si>
  <si>
    <t>0.19元</t>
  </si>
  <si>
    <t>76子母盖</t>
  </si>
  <si>
    <t>0.40元</t>
  </si>
  <si>
    <t>78平底</t>
  </si>
  <si>
    <t>78黑底</t>
  </si>
  <si>
    <t>78子母盖</t>
  </si>
  <si>
    <t>0.42元</t>
  </si>
  <si>
    <t>80平底</t>
  </si>
  <si>
    <t>80黑底</t>
  </si>
  <si>
    <t>0.20元</t>
  </si>
  <si>
    <t>82平底</t>
  </si>
  <si>
    <t>82黑底</t>
  </si>
  <si>
    <t>83平底</t>
  </si>
  <si>
    <t>83黑底</t>
  </si>
  <si>
    <t>83子母盖</t>
  </si>
  <si>
    <t>0.45元</t>
  </si>
  <si>
    <t>86平底</t>
  </si>
  <si>
    <t>0.21元</t>
  </si>
  <si>
    <t>86黑底</t>
  </si>
  <si>
    <t>0.23元</t>
  </si>
  <si>
    <t>89平底</t>
  </si>
  <si>
    <t>89黑底</t>
  </si>
  <si>
    <t>89子母盖</t>
  </si>
  <si>
    <t>0.46元</t>
  </si>
  <si>
    <t>92平底</t>
  </si>
  <si>
    <t>0.22元</t>
  </si>
  <si>
    <t>92黑底</t>
  </si>
  <si>
    <t>0.24元</t>
  </si>
  <si>
    <t>94平底</t>
  </si>
  <si>
    <t>94黑底</t>
  </si>
  <si>
    <t>0.25元</t>
  </si>
  <si>
    <t>99平底</t>
  </si>
  <si>
    <t>99黑底</t>
  </si>
  <si>
    <t>0.27元</t>
  </si>
  <si>
    <t>99子母盖</t>
  </si>
  <si>
    <t>0.55元</t>
  </si>
  <si>
    <t>105平底</t>
  </si>
  <si>
    <t>0.215元</t>
  </si>
  <si>
    <t>0.28元</t>
  </si>
  <si>
    <t>105黑底</t>
  </si>
  <si>
    <t>0.31元</t>
  </si>
  <si>
    <t>110平底</t>
  </si>
  <si>
    <t>0.235元</t>
  </si>
  <si>
    <t>0.30元</t>
  </si>
  <si>
    <t>110黑底</t>
  </si>
  <si>
    <t>0.33元</t>
  </si>
  <si>
    <t>115子母盖</t>
  </si>
  <si>
    <t>0.76元</t>
  </si>
  <si>
    <t>115平底</t>
  </si>
  <si>
    <t>0.26元</t>
  </si>
  <si>
    <t>0.32元</t>
  </si>
  <si>
    <t>115黑底</t>
  </si>
  <si>
    <t>0.35元</t>
  </si>
  <si>
    <t>120子母盖</t>
  </si>
  <si>
    <t>0.78元</t>
  </si>
  <si>
    <t>120平底</t>
  </si>
  <si>
    <t>0.34元</t>
  </si>
  <si>
    <t>120黑底</t>
  </si>
  <si>
    <t>0.29元</t>
  </si>
  <si>
    <t>0.37元</t>
  </si>
  <si>
    <t>126子母盖</t>
  </si>
  <si>
    <t>0.80元</t>
  </si>
  <si>
    <t>126平底</t>
  </si>
  <si>
    <t>0.36元</t>
  </si>
  <si>
    <t>126黑底</t>
  </si>
  <si>
    <t>0.39元</t>
  </si>
  <si>
    <t>140平底</t>
  </si>
  <si>
    <t>140黑底</t>
  </si>
  <si>
    <t>140子母盖</t>
  </si>
  <si>
    <t>1元</t>
  </si>
  <si>
    <t>145平底</t>
  </si>
  <si>
    <t>0.41元</t>
  </si>
  <si>
    <t>145黑底</t>
  </si>
  <si>
    <t>145子母盖</t>
  </si>
  <si>
    <t>1.03元</t>
  </si>
  <si>
    <t>153平底</t>
  </si>
  <si>
    <t>153黑底</t>
  </si>
  <si>
    <t>0.48元</t>
  </si>
  <si>
    <t>0.62元</t>
  </si>
  <si>
    <t>153子母盖</t>
  </si>
  <si>
    <t>1.23元</t>
  </si>
  <si>
    <t>160平底</t>
  </si>
  <si>
    <t>0.64元</t>
  </si>
  <si>
    <t>160黑底</t>
  </si>
  <si>
    <t>0.67元</t>
  </si>
  <si>
    <t>174平底</t>
  </si>
  <si>
    <t>174黑底</t>
  </si>
  <si>
    <t>1.05元</t>
  </si>
  <si>
    <t>174子母盖</t>
  </si>
  <si>
    <t>2.25元</t>
  </si>
  <si>
    <t>200平底</t>
  </si>
  <si>
    <t>1.17元</t>
  </si>
  <si>
    <t>200黑底</t>
  </si>
  <si>
    <t>1.2元</t>
  </si>
  <si>
    <t>200子母盖</t>
  </si>
  <si>
    <t>3元</t>
  </si>
  <si>
    <t>报价表</t>
  </si>
  <si>
    <t>报价单位：河北省唐山市丰南区海达五金加工厂      联系人：毕海坡      联系电话：15031888917      邮箱：761236828@qq.com</t>
  </si>
  <si>
    <t>备注</t>
  </si>
  <si>
    <t>1.以上价格单款一万个起包含运费不含税</t>
  </si>
  <si>
    <t>2.付款方式：现结</t>
  </si>
  <si>
    <t>面纸长</t>
  </si>
  <si>
    <t>面纸宽</t>
  </si>
  <si>
    <t>计算器1</t>
  </si>
  <si>
    <t>计算器2</t>
  </si>
  <si>
    <t>圆周</t>
  </si>
  <si>
    <t>8开印刷机</t>
  </si>
  <si>
    <t>320/圆周</t>
  </si>
  <si>
    <t>510/高度</t>
  </si>
  <si>
    <t>总开数</t>
  </si>
  <si>
    <t>面纸价格</t>
  </si>
  <si>
    <t>拼几个：</t>
  </si>
  <si>
    <t>510/圆周</t>
  </si>
  <si>
    <t>320/高度</t>
  </si>
  <si>
    <t>总共几张：</t>
  </si>
  <si>
    <t>单张价格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</si>
</sst>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开&quot;"/>
  </numFmts>
  <fonts count="3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方正粗黑宋简体"/>
      <charset val="134"/>
    </font>
    <font>
      <sz val="20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20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5" tint="-0.5"/>
      <name val="宋体"/>
      <charset val="134"/>
      <scheme val="minor"/>
    </font>
    <font>
      <sz val="14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2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Arial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5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6" borderId="36" applyNumberFormat="0" applyAlignment="0" applyProtection="0">
      <alignment vertical="center"/>
    </xf>
    <xf numFmtId="0" fontId="27" fillId="37" borderId="37" applyNumberFormat="0" applyAlignment="0" applyProtection="0">
      <alignment vertical="center"/>
    </xf>
    <xf numFmtId="0" fontId="28" fillId="37" borderId="36" applyNumberFormat="0" applyAlignment="0" applyProtection="0">
      <alignment vertical="center"/>
    </xf>
    <xf numFmtId="0" fontId="29" fillId="38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5" fillId="61" borderId="0" applyNumberFormat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7" borderId="1" xfId="0" applyFill="1" applyBorder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8" borderId="0" xfId="0" applyFill="1" applyAlignment="1" applyProtection="1">
      <alignment vertical="center"/>
      <protection locked="0"/>
    </xf>
    <xf numFmtId="0" fontId="0" fillId="8" borderId="0" xfId="0" applyNumberFormat="1" applyFill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</xf>
    <xf numFmtId="0" fontId="0" fillId="9" borderId="1" xfId="0" applyFill="1" applyBorder="1" applyAlignment="1" applyProtection="1">
      <alignment vertical="center"/>
    </xf>
    <xf numFmtId="0" fontId="0" fillId="4" borderId="1" xfId="0" applyFill="1" applyBorder="1" applyAlignment="1" applyProtection="1">
      <alignment vertical="center"/>
    </xf>
    <xf numFmtId="0" fontId="0" fillId="10" borderId="1" xfId="0" applyFill="1" applyBorder="1" applyAlignment="1" applyProtection="1">
      <alignment vertical="center"/>
    </xf>
    <xf numFmtId="0" fontId="1" fillId="11" borderId="1" xfId="0" applyFont="1" applyFill="1" applyBorder="1" applyAlignment="1" applyProtection="1">
      <alignment vertical="center"/>
    </xf>
    <xf numFmtId="0" fontId="0" fillId="12" borderId="0" xfId="0" applyFill="1" applyAlignment="1" applyProtection="1">
      <alignment vertical="center"/>
    </xf>
    <xf numFmtId="0" fontId="0" fillId="11" borderId="1" xfId="0" applyFill="1" applyBorder="1" applyAlignment="1" applyProtection="1">
      <alignment vertical="center"/>
    </xf>
    <xf numFmtId="0" fontId="0" fillId="13" borderId="1" xfId="0" applyFill="1" applyBorder="1" applyAlignment="1" applyProtection="1">
      <alignment vertical="center"/>
    </xf>
    <xf numFmtId="0" fontId="0" fillId="14" borderId="1" xfId="0" applyFill="1" applyBorder="1" applyAlignment="1" applyProtection="1">
      <alignment vertical="center"/>
    </xf>
    <xf numFmtId="0" fontId="0" fillId="15" borderId="0" xfId="0" applyFill="1" applyAlignment="1" applyProtection="1">
      <alignment vertical="center"/>
    </xf>
    <xf numFmtId="0" fontId="0" fillId="2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>
      <alignment vertical="center"/>
    </xf>
    <xf numFmtId="0" fontId="0" fillId="14" borderId="0" xfId="0" applyFill="1" applyAlignment="1" applyProtection="1">
      <alignment vertical="center"/>
    </xf>
    <xf numFmtId="0" fontId="0" fillId="16" borderId="0" xfId="0" applyFill="1" applyAlignment="1" applyProtection="1">
      <alignment horizontal="right" vertical="center"/>
    </xf>
    <xf numFmtId="0" fontId="0" fillId="16" borderId="0" xfId="0" applyFill="1" applyAlignment="1" applyProtection="1">
      <alignment vertical="center"/>
    </xf>
    <xf numFmtId="0" fontId="0" fillId="0" borderId="0" xfId="0" applyProtection="1">
      <alignment vertical="center"/>
      <protection locked="0"/>
    </xf>
    <xf numFmtId="0" fontId="0" fillId="8" borderId="1" xfId="0" applyFill="1" applyBorder="1" applyAlignment="1" applyProtection="1">
      <alignment vertical="center"/>
    </xf>
    <xf numFmtId="0" fontId="0" fillId="8" borderId="1" xfId="0" applyNumberFormat="1" applyFill="1" applyBorder="1" applyAlignment="1" applyProtection="1">
      <alignment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vertical="center"/>
      <protection locked="0"/>
    </xf>
    <xf numFmtId="0" fontId="0" fillId="8" borderId="1" xfId="0" applyNumberFormat="1" applyFill="1" applyBorder="1" applyAlignment="1" applyProtection="1">
      <alignment vertical="center"/>
      <protection locked="0"/>
    </xf>
    <xf numFmtId="0" fontId="0" fillId="17" borderId="0" xfId="0" applyFill="1" applyAlignment="1" applyProtection="1">
      <alignment horizontal="right" vertical="center"/>
    </xf>
    <xf numFmtId="0" fontId="0" fillId="0" borderId="0" xfId="0" applyProtection="1">
      <alignment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0" fontId="0" fillId="10" borderId="1" xfId="0" applyFill="1" applyBorder="1" applyAlignment="1" applyProtection="1">
      <alignment vertical="center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0" fillId="12" borderId="0" xfId="0" applyFill="1" applyAlignment="1" applyProtection="1">
      <alignment vertical="center"/>
      <protection locked="0"/>
    </xf>
    <xf numFmtId="0" fontId="0" fillId="11" borderId="1" xfId="0" applyFill="1" applyBorder="1" applyAlignment="1" applyProtection="1">
      <alignment vertical="center"/>
      <protection locked="0"/>
    </xf>
    <xf numFmtId="0" fontId="0" fillId="13" borderId="1" xfId="0" applyFill="1" applyBorder="1" applyAlignment="1" applyProtection="1">
      <alignment vertical="center"/>
      <protection locked="0"/>
    </xf>
    <xf numFmtId="0" fontId="0" fillId="14" borderId="1" xfId="0" applyFill="1" applyBorder="1" applyAlignment="1" applyProtection="1">
      <alignment vertical="center"/>
      <protection locked="0"/>
    </xf>
    <xf numFmtId="0" fontId="0" fillId="15" borderId="0" xfId="0" applyFill="1" applyAlignment="1" applyProtection="1">
      <alignment vertical="center"/>
      <protection locked="0"/>
    </xf>
    <xf numFmtId="0" fontId="0" fillId="14" borderId="0" xfId="0" applyFill="1" applyAlignment="1" applyProtection="1">
      <alignment vertical="center"/>
      <protection locked="0"/>
    </xf>
    <xf numFmtId="0" fontId="0" fillId="17" borderId="0" xfId="0" applyFill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justify"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right" vertical="center"/>
    </xf>
    <xf numFmtId="0" fontId="0" fillId="5" borderId="0" xfId="0" applyFill="1" applyProtection="1">
      <alignment vertical="center"/>
    </xf>
    <xf numFmtId="0" fontId="0" fillId="5" borderId="0" xfId="0" applyFill="1" applyAlignment="1" applyProtection="1">
      <alignment horizontal="right" vertical="center"/>
    </xf>
    <xf numFmtId="0" fontId="0" fillId="5" borderId="0" xfId="0" applyFill="1" applyAlignment="1" applyProtection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justify" vertical="center"/>
    </xf>
    <xf numFmtId="0" fontId="0" fillId="0" borderId="0" xfId="0" applyAlignment="1" applyProtection="1">
      <alignment horizontal="left" vertical="center"/>
      <protection locked="0"/>
    </xf>
    <xf numFmtId="0" fontId="0" fillId="5" borderId="0" xfId="0" applyFill="1" applyProtection="1">
      <alignment vertical="center"/>
      <protection locked="0"/>
    </xf>
    <xf numFmtId="0" fontId="2" fillId="18" borderId="0" xfId="0" applyFont="1" applyFill="1" applyAlignment="1" applyProtection="1">
      <alignment horizontal="center" vertical="center"/>
    </xf>
    <xf numFmtId="0" fontId="3" fillId="18" borderId="0" xfId="0" applyFont="1" applyFill="1" applyAlignment="1" applyProtection="1">
      <alignment horizontal="center" vertical="center"/>
    </xf>
    <xf numFmtId="0" fontId="4" fillId="15" borderId="2" xfId="0" applyFont="1" applyFill="1" applyBorder="1" applyAlignment="1" applyProtection="1">
      <alignment horizontal="center" vertical="center"/>
    </xf>
    <xf numFmtId="0" fontId="4" fillId="15" borderId="3" xfId="0" applyFont="1" applyFill="1" applyBorder="1" applyAlignment="1" applyProtection="1">
      <alignment horizontal="center" vertical="center"/>
    </xf>
    <xf numFmtId="0" fontId="0" fillId="19" borderId="1" xfId="0" applyFill="1" applyBorder="1" applyProtection="1">
      <alignment vertical="center"/>
    </xf>
    <xf numFmtId="0" fontId="0" fillId="19" borderId="4" xfId="0" applyFill="1" applyBorder="1" applyProtection="1">
      <alignment vertical="center"/>
    </xf>
    <xf numFmtId="0" fontId="0" fillId="19" borderId="4" xfId="0" applyFill="1" applyBorder="1" applyAlignment="1" applyProtection="1">
      <alignment horizontal="center" vertical="center"/>
    </xf>
    <xf numFmtId="0" fontId="1" fillId="20" borderId="1" xfId="0" applyFont="1" applyFill="1" applyBorder="1" applyProtection="1">
      <alignment vertical="center"/>
    </xf>
    <xf numFmtId="0" fontId="0" fillId="0" borderId="1" xfId="0" applyBorder="1" applyProtection="1">
      <alignment vertical="center"/>
    </xf>
    <xf numFmtId="0" fontId="1" fillId="21" borderId="1" xfId="0" applyFont="1" applyFill="1" applyBorder="1" applyProtection="1">
      <alignment vertical="center"/>
    </xf>
    <xf numFmtId="0" fontId="5" fillId="22" borderId="5" xfId="0" applyFont="1" applyFill="1" applyBorder="1" applyAlignment="1" applyProtection="1">
      <alignment horizontal="center" vertical="center"/>
    </xf>
    <xf numFmtId="0" fontId="1" fillId="22" borderId="0" xfId="0" applyFont="1" applyFill="1" applyAlignment="1" applyProtection="1">
      <alignment horizontal="center" vertical="center"/>
    </xf>
    <xf numFmtId="0" fontId="0" fillId="22" borderId="5" xfId="0" applyFill="1" applyBorder="1" applyProtection="1">
      <alignment vertical="center"/>
    </xf>
    <xf numFmtId="0" fontId="0" fillId="23" borderId="1" xfId="0" applyFill="1" applyBorder="1" applyAlignment="1" applyProtection="1">
      <alignment horizontal="center" vertical="center"/>
    </xf>
    <xf numFmtId="0" fontId="0" fillId="24" borderId="1" xfId="0" applyFill="1" applyBorder="1" applyAlignment="1" applyProtection="1">
      <alignment horizontal="center" vertical="center"/>
    </xf>
    <xf numFmtId="0" fontId="0" fillId="25" borderId="1" xfId="0" applyFill="1" applyBorder="1" applyAlignment="1" applyProtection="1">
      <alignment horizontal="center" vertical="center"/>
    </xf>
    <xf numFmtId="0" fontId="0" fillId="26" borderId="1" xfId="0" applyFill="1" applyBorder="1" applyAlignment="1" applyProtection="1">
      <alignment vertical="center"/>
    </xf>
    <xf numFmtId="0" fontId="0" fillId="23" borderId="1" xfId="0" applyFill="1" applyBorder="1" applyProtection="1">
      <alignment vertical="center"/>
    </xf>
    <xf numFmtId="0" fontId="0" fillId="8" borderId="0" xfId="0" applyFill="1" applyProtection="1">
      <alignment vertical="center"/>
    </xf>
    <xf numFmtId="0" fontId="0" fillId="8" borderId="0" xfId="0" applyFill="1" applyAlignment="1" applyProtection="1">
      <alignment horizontal="right" vertical="center"/>
    </xf>
    <xf numFmtId="0" fontId="0" fillId="25" borderId="6" xfId="0" applyFill="1" applyBorder="1" applyAlignment="1" applyProtection="1">
      <alignment horizontal="center" vertical="center"/>
    </xf>
    <xf numFmtId="0" fontId="0" fillId="25" borderId="7" xfId="0" applyFill="1" applyBorder="1" applyAlignment="1" applyProtection="1">
      <alignment horizontal="center" vertical="center"/>
    </xf>
    <xf numFmtId="0" fontId="0" fillId="26" borderId="1" xfId="0" applyFill="1" applyBorder="1" applyProtection="1">
      <alignment vertical="center"/>
    </xf>
    <xf numFmtId="0" fontId="0" fillId="24" borderId="1" xfId="0" applyFill="1" applyBorder="1" applyProtection="1">
      <alignment vertical="center"/>
    </xf>
    <xf numFmtId="0" fontId="0" fillId="15" borderId="6" xfId="0" applyFill="1" applyBorder="1" applyProtection="1">
      <alignment vertical="center"/>
    </xf>
    <xf numFmtId="0" fontId="0" fillId="25" borderId="1" xfId="0" applyFill="1" applyBorder="1" applyAlignment="1" applyProtection="1">
      <alignment horizontal="right" vertical="center"/>
    </xf>
    <xf numFmtId="0" fontId="0" fillId="15" borderId="1" xfId="0" applyFill="1" applyBorder="1" applyProtection="1">
      <alignment vertical="center"/>
    </xf>
    <xf numFmtId="0" fontId="0" fillId="25" borderId="1" xfId="0" applyFill="1" applyBorder="1" applyAlignment="1" applyProtection="1">
      <alignment horizontal="left" vertical="center"/>
    </xf>
    <xf numFmtId="0" fontId="0" fillId="25" borderId="1" xfId="0" applyFill="1" applyBorder="1" applyProtection="1">
      <alignment vertical="center"/>
    </xf>
    <xf numFmtId="0" fontId="0" fillId="8" borderId="6" xfId="0" applyFill="1" applyBorder="1" applyAlignment="1" applyProtection="1">
      <alignment horizontal="center" vertical="center"/>
    </xf>
    <xf numFmtId="0" fontId="0" fillId="8" borderId="7" xfId="0" applyFill="1" applyBorder="1" applyAlignment="1" applyProtection="1">
      <alignment horizontal="center" vertical="center"/>
    </xf>
    <xf numFmtId="0" fontId="0" fillId="22" borderId="0" xfId="0" applyFill="1" applyProtection="1">
      <alignment vertical="center"/>
    </xf>
    <xf numFmtId="0" fontId="0" fillId="8" borderId="1" xfId="0" applyFill="1" applyBorder="1" applyAlignment="1" applyProtection="1">
      <alignment horizontal="left" vertical="center"/>
    </xf>
    <xf numFmtId="0" fontId="0" fillId="8" borderId="1" xfId="0" applyFill="1" applyBorder="1" applyProtection="1">
      <alignment vertical="center"/>
    </xf>
    <xf numFmtId="0" fontId="0" fillId="25" borderId="0" xfId="0" applyFill="1" applyProtection="1">
      <alignment vertical="center"/>
    </xf>
    <xf numFmtId="0" fontId="0" fillId="25" borderId="7" xfId="0" applyFill="1" applyBorder="1" applyProtection="1">
      <alignment vertical="center"/>
    </xf>
    <xf numFmtId="0" fontId="6" fillId="27" borderId="4" xfId="0" applyFont="1" applyFill="1" applyBorder="1" applyProtection="1">
      <alignment vertical="center"/>
    </xf>
    <xf numFmtId="0" fontId="6" fillId="27" borderId="4" xfId="0" applyFont="1" applyFill="1" applyBorder="1" applyAlignment="1" applyProtection="1">
      <alignment horizontal="center" vertical="center"/>
    </xf>
    <xf numFmtId="0" fontId="0" fillId="27" borderId="1" xfId="0" applyFill="1" applyBorder="1" applyProtection="1">
      <alignment vertical="center"/>
    </xf>
    <xf numFmtId="0" fontId="7" fillId="27" borderId="1" xfId="0" applyFont="1" applyFill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8" fillId="22" borderId="8" xfId="0" applyFont="1" applyFill="1" applyBorder="1" applyProtection="1">
      <alignment vertical="center"/>
    </xf>
    <xf numFmtId="0" fontId="9" fillId="22" borderId="9" xfId="0" applyFont="1" applyFill="1" applyBorder="1" applyAlignment="1" applyProtection="1">
      <alignment horizontal="center" vertical="center"/>
    </xf>
    <xf numFmtId="0" fontId="8" fillId="22" borderId="9" xfId="0" applyFont="1" applyFill="1" applyBorder="1" applyAlignment="1" applyProtection="1">
      <alignment horizontal="center" vertical="center"/>
    </xf>
    <xf numFmtId="0" fontId="0" fillId="19" borderId="6" xfId="0" applyFill="1" applyBorder="1" applyAlignment="1" applyProtection="1">
      <alignment horizontal="center" vertical="center"/>
    </xf>
    <xf numFmtId="0" fontId="0" fillId="19" borderId="7" xfId="0" applyFill="1" applyBorder="1" applyAlignment="1" applyProtection="1">
      <alignment horizontal="center" vertical="center"/>
    </xf>
    <xf numFmtId="0" fontId="0" fillId="19" borderId="1" xfId="0" applyFill="1" applyBorder="1" applyAlignment="1" applyProtection="1">
      <alignment horizontal="center" vertical="center"/>
    </xf>
    <xf numFmtId="0" fontId="0" fillId="5" borderId="1" xfId="0" applyFill="1" applyBorder="1" applyProtection="1">
      <alignment vertical="center"/>
    </xf>
    <xf numFmtId="0" fontId="0" fillId="21" borderId="0" xfId="0" applyFill="1" applyProtection="1">
      <alignment vertical="center"/>
    </xf>
    <xf numFmtId="0" fontId="3" fillId="28" borderId="0" xfId="0" applyFont="1" applyFill="1" applyAlignment="1" applyProtection="1">
      <alignment horizontal="center" vertical="center"/>
    </xf>
    <xf numFmtId="0" fontId="0" fillId="28" borderId="0" xfId="0" applyFill="1" applyAlignment="1" applyProtection="1">
      <alignment horizontal="center" vertical="center"/>
    </xf>
    <xf numFmtId="0" fontId="0" fillId="28" borderId="5" xfId="0" applyFill="1" applyBorder="1" applyProtection="1">
      <alignment vertical="center"/>
    </xf>
    <xf numFmtId="0" fontId="0" fillId="23" borderId="10" xfId="0" applyFill="1" applyBorder="1" applyAlignment="1" applyProtection="1">
      <alignment horizontal="center" vertical="center"/>
    </xf>
    <xf numFmtId="0" fontId="10" fillId="24" borderId="1" xfId="0" applyFont="1" applyFill="1" applyBorder="1" applyAlignment="1" applyProtection="1">
      <alignment horizontal="center" vertical="center"/>
    </xf>
    <xf numFmtId="0" fontId="0" fillId="26" borderId="1" xfId="0" applyFill="1" applyBorder="1" applyAlignment="1" applyProtection="1">
      <alignment horizontal="center" vertical="center"/>
    </xf>
    <xf numFmtId="0" fontId="11" fillId="23" borderId="11" xfId="0" applyFont="1" applyFill="1" applyBorder="1" applyProtection="1">
      <alignment vertical="center"/>
    </xf>
    <xf numFmtId="0" fontId="0" fillId="23" borderId="12" xfId="0" applyFill="1" applyBorder="1" applyProtection="1">
      <alignment vertical="center"/>
    </xf>
    <xf numFmtId="0" fontId="0" fillId="8" borderId="7" xfId="0" applyFill="1" applyBorder="1" applyProtection="1">
      <alignment vertical="center"/>
    </xf>
    <xf numFmtId="0" fontId="0" fillId="23" borderId="13" xfId="0" applyFill="1" applyBorder="1" applyProtection="1">
      <alignment vertical="center"/>
    </xf>
    <xf numFmtId="0" fontId="0" fillId="15" borderId="14" xfId="0" applyFill="1" applyBorder="1" applyProtection="1">
      <alignment vertical="center"/>
    </xf>
    <xf numFmtId="0" fontId="12" fillId="24" borderId="7" xfId="0" applyFont="1" applyFill="1" applyBorder="1" applyProtection="1">
      <alignment vertical="center"/>
    </xf>
    <xf numFmtId="0" fontId="0" fillId="8" borderId="5" xfId="0" applyFill="1" applyBorder="1" applyProtection="1">
      <alignment vertical="center"/>
    </xf>
    <xf numFmtId="0" fontId="0" fillId="8" borderId="15" xfId="0" applyFill="1" applyBorder="1" applyProtection="1">
      <alignment vertical="center"/>
    </xf>
    <xf numFmtId="0" fontId="0" fillId="24" borderId="7" xfId="0" applyFill="1" applyBorder="1" applyProtection="1">
      <alignment vertical="center"/>
    </xf>
    <xf numFmtId="0" fontId="0" fillId="23" borderId="16" xfId="0" applyFill="1" applyBorder="1" applyProtection="1">
      <alignment vertical="center"/>
    </xf>
    <xf numFmtId="0" fontId="0" fillId="23" borderId="17" xfId="0" applyFill="1" applyBorder="1" applyProtection="1">
      <alignment vertical="center"/>
    </xf>
    <xf numFmtId="0" fontId="1" fillId="15" borderId="1" xfId="0" applyFont="1" applyFill="1" applyBorder="1" applyProtection="1">
      <alignment vertical="center"/>
    </xf>
    <xf numFmtId="0" fontId="0" fillId="28" borderId="0" xfId="0" applyFill="1" applyProtection="1">
      <alignment vertical="center"/>
    </xf>
    <xf numFmtId="0" fontId="0" fillId="23" borderId="4" xfId="0" applyFill="1" applyBorder="1" applyProtection="1">
      <alignment vertical="center"/>
    </xf>
    <xf numFmtId="0" fontId="0" fillId="28" borderId="0" xfId="0" applyFill="1" applyBorder="1" applyProtection="1">
      <alignment vertical="center"/>
    </xf>
    <xf numFmtId="0" fontId="0" fillId="25" borderId="6" xfId="0" applyFill="1" applyBorder="1" applyProtection="1">
      <alignment vertical="center"/>
    </xf>
    <xf numFmtId="0" fontId="6" fillId="27" borderId="1" xfId="0" applyFont="1" applyFill="1" applyBorder="1" applyProtection="1">
      <alignment vertical="center"/>
    </xf>
    <xf numFmtId="0" fontId="6" fillId="27" borderId="1" xfId="0" applyFont="1" applyFill="1" applyBorder="1" applyAlignment="1" applyProtection="1">
      <alignment horizontal="center" vertical="center"/>
    </xf>
    <xf numFmtId="0" fontId="13" fillId="27" borderId="1" xfId="0" applyFont="1" applyFill="1" applyBorder="1" applyProtection="1">
      <alignment vertical="center"/>
    </xf>
    <xf numFmtId="0" fontId="4" fillId="15" borderId="18" xfId="0" applyFont="1" applyFill="1" applyBorder="1" applyAlignment="1" applyProtection="1">
      <alignment horizontal="center" vertical="center"/>
    </xf>
    <xf numFmtId="0" fontId="1" fillId="19" borderId="1" xfId="0" applyFont="1" applyFill="1" applyBorder="1" applyAlignment="1" applyProtection="1">
      <alignment horizontal="center" vertical="center"/>
    </xf>
    <xf numFmtId="0" fontId="1" fillId="19" borderId="0" xfId="0" applyFont="1" applyFill="1" applyBorder="1" applyAlignment="1" applyProtection="1">
      <alignment horizontal="center" vertical="center"/>
    </xf>
    <xf numFmtId="0" fontId="1" fillId="19" borderId="4" xfId="0" applyFont="1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vertical="center"/>
    </xf>
    <xf numFmtId="0" fontId="14" fillId="5" borderId="1" xfId="0" applyFont="1" applyFill="1" applyBorder="1" applyProtection="1">
      <alignment vertical="center"/>
    </xf>
    <xf numFmtId="0" fontId="1" fillId="21" borderId="6" xfId="0" applyFont="1" applyFill="1" applyBorder="1" applyAlignment="1" applyProtection="1">
      <alignment horizontal="center" vertical="center"/>
    </xf>
    <xf numFmtId="0" fontId="1" fillId="21" borderId="7" xfId="0" applyFont="1" applyFill="1" applyBorder="1" applyAlignment="1" applyProtection="1">
      <alignment horizontal="center" vertical="center"/>
    </xf>
    <xf numFmtId="0" fontId="8" fillId="21" borderId="1" xfId="0" applyFont="1" applyFill="1" applyBorder="1" applyProtection="1">
      <alignment vertical="center"/>
    </xf>
    <xf numFmtId="0" fontId="1" fillId="22" borderId="19" xfId="0" applyFont="1" applyFill="1" applyBorder="1" applyAlignment="1" applyProtection="1">
      <alignment horizontal="center" vertical="center"/>
    </xf>
    <xf numFmtId="0" fontId="3" fillId="22" borderId="0" xfId="0" applyFont="1" applyFill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 vertical="center"/>
    </xf>
    <xf numFmtId="0" fontId="1" fillId="29" borderId="20" xfId="0" applyFont="1" applyFill="1" applyBorder="1" applyAlignment="1" applyProtection="1">
      <alignment horizontal="center" vertical="center"/>
    </xf>
    <xf numFmtId="0" fontId="1" fillId="29" borderId="21" xfId="0" applyFont="1" applyFill="1" applyBorder="1" applyAlignment="1" applyProtection="1">
      <alignment horizontal="center" vertical="center"/>
    </xf>
    <xf numFmtId="0" fontId="0" fillId="22" borderId="0" xfId="0" applyFill="1" applyAlignment="1" applyProtection="1">
      <alignment horizontal="center" vertical="center"/>
    </xf>
    <xf numFmtId="0" fontId="15" fillId="6" borderId="1" xfId="0" applyFont="1" applyFill="1" applyBorder="1" applyAlignment="1" applyProtection="1">
      <alignment horizontal="center" vertical="center"/>
    </xf>
    <xf numFmtId="0" fontId="11" fillId="29" borderId="22" xfId="0" applyFont="1" applyFill="1" applyBorder="1" applyAlignment="1" applyProtection="1">
      <alignment horizontal="center" vertical="center"/>
    </xf>
    <xf numFmtId="0" fontId="1" fillId="29" borderId="7" xfId="0" applyFont="1" applyFill="1" applyBorder="1" applyAlignment="1" applyProtection="1">
      <alignment horizontal="center" vertical="center"/>
    </xf>
    <xf numFmtId="0" fontId="0" fillId="6" borderId="1" xfId="0" applyFill="1" applyBorder="1" applyProtection="1">
      <alignment vertical="center"/>
    </xf>
    <xf numFmtId="0" fontId="1" fillId="29" borderId="7" xfId="0" applyFont="1" applyFill="1" applyBorder="1" applyProtection="1">
      <alignment vertical="center"/>
    </xf>
    <xf numFmtId="0" fontId="1" fillId="29" borderId="1" xfId="0" applyFont="1" applyFill="1" applyBorder="1" applyProtection="1">
      <alignment vertical="center"/>
    </xf>
    <xf numFmtId="0" fontId="1" fillId="29" borderId="0" xfId="0" applyFont="1" applyFill="1" applyProtection="1">
      <alignment vertical="center"/>
    </xf>
    <xf numFmtId="0" fontId="0" fillId="29" borderId="1" xfId="0" applyFill="1" applyBorder="1" applyProtection="1">
      <alignment vertical="center"/>
    </xf>
    <xf numFmtId="0" fontId="0" fillId="29" borderId="1" xfId="0" applyFill="1" applyBorder="1" applyAlignment="1" applyProtection="1">
      <alignment horizontal="center" vertical="center"/>
    </xf>
    <xf numFmtId="0" fontId="0" fillId="26" borderId="0" xfId="0" applyFill="1" applyProtection="1">
      <alignment vertical="center"/>
    </xf>
    <xf numFmtId="0" fontId="6" fillId="27" borderId="0" xfId="0" applyFont="1" applyFill="1" applyProtection="1">
      <alignment vertical="center"/>
    </xf>
    <xf numFmtId="0" fontId="5" fillId="27" borderId="1" xfId="0" applyFont="1" applyFill="1" applyBorder="1" applyAlignment="1" applyProtection="1">
      <alignment horizontal="center" vertical="center"/>
    </xf>
    <xf numFmtId="0" fontId="7" fillId="15" borderId="1" xfId="0" applyFont="1" applyFill="1" applyBorder="1" applyProtection="1">
      <alignment vertical="center"/>
    </xf>
    <xf numFmtId="0" fontId="5" fillId="27" borderId="1" xfId="0" applyFont="1" applyFill="1" applyBorder="1" applyProtection="1">
      <alignment vertical="center"/>
    </xf>
    <xf numFmtId="0" fontId="3" fillId="27" borderId="1" xfId="0" applyFont="1" applyFill="1" applyBorder="1" applyProtection="1">
      <alignment vertical="center"/>
    </xf>
    <xf numFmtId="0" fontId="8" fillId="22" borderId="23" xfId="0" applyFont="1" applyFill="1" applyBorder="1" applyAlignment="1" applyProtection="1">
      <alignment horizontal="center" vertical="center"/>
    </xf>
    <xf numFmtId="0" fontId="0" fillId="6" borderId="7" xfId="0" applyFill="1" applyBorder="1" applyAlignment="1" applyProtection="1">
      <alignment horizontal="center" vertical="center"/>
    </xf>
    <xf numFmtId="0" fontId="0" fillId="6" borderId="6" xfId="0" applyFill="1" applyBorder="1" applyAlignment="1" applyProtection="1">
      <alignment horizontal="center" vertical="center"/>
    </xf>
    <xf numFmtId="0" fontId="1" fillId="29" borderId="24" xfId="0" applyFont="1" applyFill="1" applyBorder="1" applyAlignment="1" applyProtection="1">
      <alignment horizontal="center" vertical="center"/>
    </xf>
    <xf numFmtId="0" fontId="12" fillId="28" borderId="0" xfId="0" applyFont="1" applyFill="1" applyBorder="1" applyAlignment="1" applyProtection="1">
      <alignment horizontal="center" vertical="center"/>
    </xf>
    <xf numFmtId="0" fontId="16" fillId="6" borderId="0" xfId="0" applyFont="1" applyFill="1" applyAlignment="1" applyProtection="1">
      <alignment horizontal="center" vertical="center"/>
    </xf>
    <xf numFmtId="0" fontId="0" fillId="6" borderId="0" xfId="0" applyFill="1" applyAlignment="1" applyProtection="1">
      <alignment horizontal="center" vertical="center"/>
    </xf>
    <xf numFmtId="0" fontId="11" fillId="29" borderId="6" xfId="0" applyFont="1" applyFill="1" applyBorder="1" applyAlignment="1" applyProtection="1">
      <alignment horizontal="center" vertical="center"/>
    </xf>
    <xf numFmtId="0" fontId="0" fillId="29" borderId="0" xfId="0" applyFill="1" applyProtection="1">
      <alignment vertical="center"/>
    </xf>
    <xf numFmtId="0" fontId="0" fillId="6" borderId="0" xfId="0" applyFill="1" applyProtection="1">
      <alignment vertical="center"/>
    </xf>
    <xf numFmtId="0" fontId="0" fillId="8" borderId="22" xfId="0" applyFill="1" applyBorder="1" applyAlignment="1" applyProtection="1">
      <alignment horizontal="center" vertical="center"/>
    </xf>
    <xf numFmtId="0" fontId="0" fillId="23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30" borderId="0" xfId="0" applyFill="1" applyAlignment="1" applyProtection="1">
      <alignment horizontal="center" vertical="center"/>
    </xf>
    <xf numFmtId="0" fontId="0" fillId="31" borderId="1" xfId="0" applyFill="1" applyBorder="1" applyProtection="1">
      <alignment vertical="center"/>
    </xf>
    <xf numFmtId="0" fontId="0" fillId="31" borderId="1" xfId="0" applyFill="1" applyBorder="1" applyAlignment="1" applyProtection="1">
      <alignment horizontal="center" vertical="center"/>
    </xf>
    <xf numFmtId="0" fontId="0" fillId="32" borderId="1" xfId="0" applyFill="1" applyBorder="1" applyProtection="1">
      <alignment vertical="center"/>
    </xf>
    <xf numFmtId="0" fontId="0" fillId="30" borderId="6" xfId="0" applyFill="1" applyBorder="1" applyAlignment="1" applyProtection="1">
      <alignment horizontal="center" vertical="center"/>
    </xf>
    <xf numFmtId="0" fontId="0" fillId="30" borderId="22" xfId="0" applyFill="1" applyBorder="1" applyAlignment="1" applyProtection="1">
      <alignment horizontal="center" vertical="center"/>
    </xf>
    <xf numFmtId="0" fontId="0" fillId="33" borderId="1" xfId="0" applyFill="1" applyBorder="1" applyProtection="1">
      <alignment vertical="center"/>
    </xf>
    <xf numFmtId="0" fontId="0" fillId="34" borderId="0" xfId="0" applyFill="1" applyProtection="1">
      <alignment vertical="center"/>
    </xf>
    <xf numFmtId="0" fontId="1" fillId="19" borderId="1" xfId="0" applyFont="1" applyFill="1" applyBorder="1" applyProtection="1">
      <alignment vertical="center"/>
    </xf>
    <xf numFmtId="0" fontId="0" fillId="9" borderId="1" xfId="0" applyFill="1" applyBorder="1" applyProtection="1">
      <alignment vertical="center"/>
    </xf>
    <xf numFmtId="0" fontId="0" fillId="9" borderId="1" xfId="0" applyFill="1" applyBorder="1" applyAlignment="1" applyProtection="1">
      <alignment horizontal="center" vertical="center"/>
    </xf>
    <xf numFmtId="0" fontId="0" fillId="9" borderId="1" xfId="0" applyFill="1" applyBorder="1" applyAlignment="1" applyProtection="1">
      <alignment horizontal="left" vertical="center"/>
    </xf>
    <xf numFmtId="0" fontId="0" fillId="30" borderId="7" xfId="0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0" fillId="8" borderId="6" xfId="0" applyFill="1" applyBorder="1" applyProtection="1">
      <alignment vertical="center"/>
    </xf>
    <xf numFmtId="0" fontId="0" fillId="9" borderId="1" xfId="0" applyFill="1" applyBorder="1" applyAlignment="1" applyProtection="1">
      <alignment horizontal="right" vertical="center"/>
    </xf>
    <xf numFmtId="0" fontId="0" fillId="9" borderId="1" xfId="0" applyFill="1" applyBorder="1" applyAlignment="1" applyProtection="1">
      <alignment horizontal="justify" vertical="center"/>
    </xf>
    <xf numFmtId="0" fontId="0" fillId="0" borderId="10" xfId="0" applyBorder="1" applyProtection="1">
      <alignment vertical="center"/>
    </xf>
    <xf numFmtId="0" fontId="0" fillId="19" borderId="22" xfId="0" applyFill="1" applyBorder="1" applyAlignment="1" applyProtection="1">
      <alignment horizontal="center" vertical="center"/>
    </xf>
    <xf numFmtId="0" fontId="0" fillId="8" borderId="25" xfId="0" applyFill="1" applyBorder="1" applyAlignment="1" applyProtection="1">
      <alignment horizontal="center" vertical="center"/>
    </xf>
    <xf numFmtId="0" fontId="0" fillId="8" borderId="26" xfId="0" applyFill="1" applyBorder="1" applyAlignment="1" applyProtection="1">
      <alignment horizontal="center" vertical="center"/>
    </xf>
    <xf numFmtId="0" fontId="0" fillId="8" borderId="27" xfId="0" applyFill="1" applyBorder="1" applyAlignment="1" applyProtection="1">
      <alignment horizontal="left" vertical="center"/>
    </xf>
    <xf numFmtId="0" fontId="0" fillId="19" borderId="24" xfId="0" applyFill="1" applyBorder="1" applyAlignment="1" applyProtection="1">
      <alignment horizontal="center" vertical="center"/>
    </xf>
    <xf numFmtId="0" fontId="0" fillId="8" borderId="28" xfId="0" applyFill="1" applyBorder="1" applyAlignment="1" applyProtection="1">
      <alignment horizontal="center" vertical="center"/>
    </xf>
    <xf numFmtId="0" fontId="0" fillId="8" borderId="4" xfId="0" applyFill="1" applyBorder="1" applyAlignment="1" applyProtection="1">
      <alignment horizontal="center" vertical="center"/>
    </xf>
    <xf numFmtId="0" fontId="0" fillId="8" borderId="4" xfId="0" applyFill="1" applyBorder="1" applyAlignment="1" applyProtection="1">
      <alignment horizontal="left" vertical="center"/>
    </xf>
    <xf numFmtId="0" fontId="0" fillId="5" borderId="6" xfId="0" applyFill="1" applyBorder="1" applyProtection="1">
      <alignment vertical="center"/>
    </xf>
    <xf numFmtId="0" fontId="0" fillId="15" borderId="16" xfId="0" applyFill="1" applyBorder="1" applyProtection="1">
      <alignment vertical="center"/>
    </xf>
    <xf numFmtId="0" fontId="0" fillId="15" borderId="29" xfId="0" applyFill="1" applyBorder="1" applyProtection="1">
      <alignment vertical="center"/>
    </xf>
    <xf numFmtId="0" fontId="0" fillId="8" borderId="29" xfId="0" applyFill="1" applyBorder="1" applyAlignment="1" applyProtection="1">
      <alignment horizontal="left" vertical="center"/>
    </xf>
    <xf numFmtId="0" fontId="17" fillId="28" borderId="0" xfId="0" applyFont="1" applyFill="1" applyAlignment="1" applyProtection="1">
      <alignment horizontal="center" vertical="center"/>
    </xf>
    <xf numFmtId="0" fontId="15" fillId="25" borderId="1" xfId="0" applyFont="1" applyFill="1" applyBorder="1" applyAlignment="1" applyProtection="1">
      <alignment horizontal="center" vertical="center"/>
    </xf>
    <xf numFmtId="0" fontId="15" fillId="24" borderId="7" xfId="0" applyFont="1" applyFill="1" applyBorder="1" applyProtection="1">
      <alignment vertical="center"/>
    </xf>
    <xf numFmtId="0" fontId="0" fillId="23" borderId="30" xfId="0" applyFill="1" applyBorder="1" applyProtection="1">
      <alignment vertical="center"/>
    </xf>
    <xf numFmtId="0" fontId="0" fillId="23" borderId="31" xfId="0" applyFill="1" applyBorder="1" applyProtection="1">
      <alignment vertical="center"/>
    </xf>
    <xf numFmtId="0" fontId="0" fillId="28" borderId="0" xfId="0" applyFill="1">
      <alignment vertical="center"/>
    </xf>
    <xf numFmtId="0" fontId="0" fillId="25" borderId="1" xfId="0" applyFill="1" applyBorder="1">
      <alignment vertical="center"/>
    </xf>
    <xf numFmtId="0" fontId="0" fillId="26" borderId="1" xfId="0" applyFill="1" applyBorder="1">
      <alignment vertical="center"/>
    </xf>
    <xf numFmtId="0" fontId="0" fillId="8" borderId="25" xfId="0" applyFont="1" applyFill="1" applyBorder="1" applyAlignment="1" applyProtection="1">
      <alignment horizontal="center" vertical="center"/>
    </xf>
    <xf numFmtId="0" fontId="3" fillId="8" borderId="0" xfId="0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16" fillId="25" borderId="1" xfId="0" applyFont="1" applyFill="1" applyBorder="1" applyAlignment="1" applyProtection="1">
      <alignment horizontal="center" vertical="center"/>
    </xf>
    <xf numFmtId="0" fontId="0" fillId="8" borderId="0" xfId="0" applyFill="1" applyBorder="1" applyProtection="1">
      <alignment vertical="center"/>
    </xf>
    <xf numFmtId="0" fontId="0" fillId="26" borderId="7" xfId="0" applyFill="1" applyBorder="1" applyProtection="1">
      <alignment vertical="center"/>
    </xf>
    <xf numFmtId="0" fontId="0" fillId="8" borderId="0" xfId="0" applyFill="1">
      <alignment vertical="center"/>
    </xf>
    <xf numFmtId="0" fontId="0" fillId="24" borderId="1" xfId="0" applyFill="1" applyBorder="1">
      <alignment vertical="center"/>
    </xf>
    <xf numFmtId="0" fontId="1" fillId="5" borderId="1" xfId="0" applyFont="1" applyFill="1" applyBorder="1" applyProtection="1">
      <alignment vertical="center"/>
    </xf>
    <xf numFmtId="0" fontId="0" fillId="8" borderId="12" xfId="0" applyFill="1" applyBorder="1" applyProtection="1">
      <alignment vertical="center"/>
    </xf>
    <xf numFmtId="0" fontId="0" fillId="15" borderId="32" xfId="0" applyFill="1" applyBorder="1" applyAlignment="1" applyProtection="1">
      <alignment horizontal="left" vertical="center"/>
    </xf>
    <xf numFmtId="0" fontId="1" fillId="8" borderId="7" xfId="0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/>
    </xf>
    <xf numFmtId="0" fontId="1" fillId="8" borderId="17" xfId="0" applyFont="1" applyFill="1" applyBorder="1" applyAlignment="1" applyProtection="1">
      <alignment horizontal="left" vertical="center"/>
    </xf>
    <xf numFmtId="0" fontId="0" fillId="5" borderId="7" xfId="0" applyFill="1" applyBorder="1" applyAlignment="1" applyProtection="1">
      <alignment vertical="center"/>
    </xf>
    <xf numFmtId="0" fontId="0" fillId="29" borderId="1" xfId="0" applyFill="1" applyBorder="1">
      <alignment vertical="center"/>
    </xf>
    <xf numFmtId="0" fontId="12" fillId="8" borderId="0" xfId="0" applyFont="1" applyFill="1" applyBorder="1" applyAlignment="1" applyProtection="1">
      <alignment horizontal="center" vertical="center"/>
    </xf>
    <xf numFmtId="0" fontId="0" fillId="26" borderId="6" xfId="0" applyFill="1" applyBorder="1" applyProtection="1">
      <alignment vertical="center"/>
    </xf>
    <xf numFmtId="0" fontId="0" fillId="19" borderId="0" xfId="0" applyFill="1" applyProtection="1">
      <alignment vertical="center"/>
    </xf>
    <xf numFmtId="0" fontId="0" fillId="19" borderId="0" xfId="0" applyFill="1">
      <alignment vertical="center"/>
    </xf>
    <xf numFmtId="0" fontId="0" fillId="23" borderId="1" xfId="0" applyFill="1" applyBorder="1" applyAlignment="1" applyProtection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19050</xdr:colOff>
      <xdr:row>1</xdr:row>
      <xdr:rowOff>29845</xdr:rowOff>
    </xdr:from>
    <xdr:to>
      <xdr:col>28</xdr:col>
      <xdr:colOff>18415</xdr:colOff>
      <xdr:row>10</xdr:row>
      <xdr:rowOff>304165</xdr:rowOff>
    </xdr:to>
    <xdr:sp>
      <xdr:nvSpPr>
        <xdr:cNvPr id="2" name="文本框 1"/>
        <xdr:cNvSpPr txBox="1"/>
      </xdr:nvSpPr>
      <xdr:spPr>
        <a:xfrm>
          <a:off x="20397470" y="201295"/>
          <a:ext cx="4695190" cy="299529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参考价格要做到每月更新</a:t>
          </a:r>
          <a:endParaRPr lang="en-US" altLang="zh-CN" sz="1400"/>
        </a:p>
        <a:p>
          <a:pPr algn="l"/>
          <a:r>
            <a:rPr lang="en-US" altLang="zh-CN" sz="1400">
              <a:sym typeface="+mn-ea"/>
            </a:rPr>
            <a:t>250/300/360</a:t>
          </a:r>
          <a:r>
            <a:rPr lang="zh-CN" altLang="en-US" sz="1400">
              <a:sym typeface="+mn-ea"/>
            </a:rPr>
            <a:t>克灰板纸价格：</a:t>
          </a:r>
          <a:r>
            <a:rPr lang="en-US" altLang="zh-CN" sz="1400">
              <a:sym typeface="+mn-ea"/>
            </a:rPr>
            <a:t>2750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r>
            <a:rPr lang="en-US" altLang="zh-CN" sz="1400">
              <a:sym typeface="+mn-ea"/>
            </a:rPr>
            <a:t>.</a:t>
          </a:r>
          <a:endParaRPr lang="zh-CN" altLang="en-US" sz="1400"/>
        </a:p>
        <a:p>
          <a:pPr algn="l"/>
          <a:r>
            <a:rPr lang="en-US" altLang="zh-CN" sz="1400">
              <a:sym typeface="+mn-ea"/>
            </a:rPr>
            <a:t>150/180/220</a:t>
          </a:r>
          <a:r>
            <a:rPr lang="zh-CN" altLang="en-US" sz="1400">
              <a:sym typeface="+mn-ea"/>
            </a:rPr>
            <a:t>克口杯纸价格：</a:t>
          </a:r>
          <a:r>
            <a:rPr lang="en-US" altLang="zh-CN" sz="1400">
              <a:sym typeface="+mn-ea"/>
            </a:rPr>
            <a:t>6000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r>
            <a:rPr lang="en-US" altLang="zh-CN" sz="1400">
              <a:sym typeface="+mn-ea"/>
            </a:rPr>
            <a:t>.</a:t>
          </a:r>
          <a:endParaRPr lang="en-US" altLang="zh-CN" sz="1400"/>
        </a:p>
        <a:p>
          <a:pPr algn="l"/>
          <a:r>
            <a:rPr lang="en-US" altLang="zh-CN" sz="1400">
              <a:sym typeface="+mn-ea"/>
            </a:rPr>
            <a:t>60/80/100</a:t>
          </a:r>
          <a:r>
            <a:rPr lang="zh-CN" altLang="en-US" sz="1400">
              <a:sym typeface="+mn-ea"/>
            </a:rPr>
            <a:t>克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双胶纸价格：</a:t>
          </a:r>
          <a:r>
            <a:rPr lang="en-US" altLang="zh-CN" sz="1400">
              <a:sym typeface="+mn-ea"/>
            </a:rPr>
            <a:t>6000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r>
            <a:rPr lang="en-US" altLang="zh-CN" sz="1400">
              <a:sym typeface="+mn-ea"/>
            </a:rPr>
            <a:t>.</a:t>
          </a:r>
          <a:endParaRPr lang="en-US" altLang="zh-CN" sz="1400"/>
        </a:p>
        <a:p>
          <a:pPr algn="l"/>
          <a:r>
            <a:rPr lang="en-US" altLang="zh-CN" sz="1400">
              <a:sym typeface="+mn-ea"/>
            </a:rPr>
            <a:t>60/70/80/120/150</a:t>
          </a:r>
          <a:r>
            <a:rPr lang="zh-CN" altLang="en-US" sz="1400">
              <a:sym typeface="+mn-ea"/>
            </a:rPr>
            <a:t>克白牛皮价格：</a:t>
          </a:r>
          <a:r>
            <a:rPr lang="en-US" altLang="zh-CN" sz="1400">
              <a:sym typeface="+mn-ea"/>
            </a:rPr>
            <a:t>6000-6500</a:t>
          </a:r>
          <a:r>
            <a:rPr lang="zh-CN" altLang="en-US" sz="1400">
              <a:sym typeface="+mn-ea"/>
            </a:rPr>
            <a:t>吨</a:t>
          </a:r>
          <a:endParaRPr lang="en-US" altLang="zh-CN" sz="1400"/>
        </a:p>
        <a:p>
          <a:pPr algn="l"/>
          <a:r>
            <a:rPr lang="en-US" altLang="zh-CN" sz="1400">
              <a:sym typeface="+mn-ea"/>
            </a:rPr>
            <a:t>60/80/120</a:t>
          </a:r>
          <a:r>
            <a:rPr lang="zh-CN" altLang="en-US" sz="1400">
              <a:sym typeface="+mn-ea"/>
            </a:rPr>
            <a:t>克食品级牛皮价格：</a:t>
          </a:r>
          <a:r>
            <a:rPr lang="en-US" altLang="zh-CN" sz="1400">
              <a:sym typeface="+mn-ea"/>
            </a:rPr>
            <a:t>10000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endParaRPr lang="zh-CN" altLang="en-US" sz="1400"/>
        </a:p>
        <a:p>
          <a:pPr algn="l"/>
          <a:r>
            <a:rPr lang="en-US" altLang="zh-CN" sz="1400">
              <a:sym typeface="+mn-ea"/>
            </a:rPr>
            <a:t>50/60/80</a:t>
          </a:r>
          <a:r>
            <a:rPr lang="zh-CN" altLang="en-US" sz="1400">
              <a:sym typeface="+mn-ea"/>
            </a:rPr>
            <a:t>克铝箔纸价格</a:t>
          </a:r>
          <a:r>
            <a:rPr lang="en-US" altLang="zh-CN" sz="1400">
              <a:sym typeface="+mn-ea"/>
            </a:rPr>
            <a:t>12000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endParaRPr lang="zh-CN" altLang="en-US" sz="1400"/>
        </a:p>
        <a:p>
          <a:pPr algn="l"/>
          <a:r>
            <a:rPr lang="en-US" altLang="zh-CN" sz="1400">
              <a:sym typeface="+mn-ea"/>
            </a:rPr>
            <a:t>130/150/170/180</a:t>
          </a:r>
          <a:r>
            <a:rPr lang="zh-CN" altLang="en-US" sz="1400">
              <a:sym typeface="+mn-ea"/>
            </a:rPr>
            <a:t>克黄牛皮</a:t>
          </a:r>
          <a:r>
            <a:rPr lang="en-US" altLang="zh-CN" sz="1400">
              <a:sym typeface="+mn-ea"/>
            </a:rPr>
            <a:t>3500</a:t>
          </a:r>
          <a:r>
            <a:rPr lang="zh-CN" altLang="en-US" sz="1400">
              <a:sym typeface="+mn-ea"/>
            </a:rPr>
            <a:t>元</a:t>
          </a:r>
          <a:r>
            <a:rPr lang="en-US" altLang="zh-CN" sz="1400">
              <a:sym typeface="+mn-ea"/>
            </a:rPr>
            <a:t>/</a:t>
          </a:r>
          <a:r>
            <a:rPr lang="zh-CN" altLang="en-US" sz="1400">
              <a:sym typeface="+mn-ea"/>
            </a:rPr>
            <a:t>吨</a:t>
          </a:r>
          <a:endParaRPr lang="zh-CN" altLang="en-US" sz="1400"/>
        </a:p>
        <a:p>
          <a:pPr algn="l"/>
          <a:endParaRPr lang="zh-CN" altLang="en-US" sz="1400"/>
        </a:p>
      </xdr:txBody>
    </xdr:sp>
    <xdr:clientData/>
  </xdr:twoCellAnchor>
  <xdr:twoCellAnchor>
    <xdr:from>
      <xdr:col>28</xdr:col>
      <xdr:colOff>221615</xdr:colOff>
      <xdr:row>11</xdr:row>
      <xdr:rowOff>32385</xdr:rowOff>
    </xdr:from>
    <xdr:to>
      <xdr:col>28</xdr:col>
      <xdr:colOff>516890</xdr:colOff>
      <xdr:row>24</xdr:row>
      <xdr:rowOff>321310</xdr:rowOff>
    </xdr:to>
    <xdr:sp>
      <xdr:nvSpPr>
        <xdr:cNvPr id="3" name="文本框 2"/>
        <xdr:cNvSpPr txBox="1"/>
      </xdr:nvSpPr>
      <xdr:spPr>
        <a:xfrm>
          <a:off x="25295860" y="3248660"/>
          <a:ext cx="295275" cy="3320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结果会直接到参考价格，损耗率可调。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9525</xdr:colOff>
      <xdr:row>1</xdr:row>
      <xdr:rowOff>20320</xdr:rowOff>
    </xdr:from>
    <xdr:to>
      <xdr:col>25</xdr:col>
      <xdr:colOff>8890</xdr:colOff>
      <xdr:row>7</xdr:row>
      <xdr:rowOff>8890</xdr:rowOff>
    </xdr:to>
    <xdr:sp>
      <xdr:nvSpPr>
        <xdr:cNvPr id="2" name="文本框 1"/>
        <xdr:cNvSpPr txBox="1"/>
      </xdr:nvSpPr>
      <xdr:spPr>
        <a:xfrm>
          <a:off x="17149445" y="191770"/>
          <a:ext cx="4218940" cy="243967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zh-CN" altLang="en-US" sz="20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参考价格要做到每月更新</a:t>
          </a:r>
          <a:endParaRPr lang="en-US" altLang="zh-CN" sz="1400"/>
        </a:p>
        <a:p>
          <a:pPr algn="l"/>
          <a:r>
            <a:rPr lang="en-US" altLang="zh-CN" sz="1400"/>
            <a:t>250/300/360</a:t>
          </a:r>
          <a:r>
            <a:rPr lang="zh-CN" altLang="en-US" sz="1400"/>
            <a:t>克灰板纸价格：</a:t>
          </a:r>
          <a:r>
            <a:rPr lang="en-US" altLang="zh-CN" sz="1400"/>
            <a:t>2750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r>
            <a:rPr lang="en-US" altLang="zh-CN" sz="1400"/>
            <a:t>.</a:t>
          </a:r>
          <a:endParaRPr lang="zh-CN" altLang="en-US" sz="1400"/>
        </a:p>
        <a:p>
          <a:pPr algn="l"/>
          <a:r>
            <a:rPr lang="en-US" altLang="zh-CN" sz="1400"/>
            <a:t>150/180/220</a:t>
          </a:r>
          <a:r>
            <a:rPr lang="zh-CN" altLang="en-US" sz="1400"/>
            <a:t>克口杯纸价格：</a:t>
          </a:r>
          <a:r>
            <a:rPr lang="en-US" altLang="zh-CN" sz="1400"/>
            <a:t>6000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r>
            <a:rPr lang="en-US" altLang="zh-CN" sz="1400"/>
            <a:t>.</a:t>
          </a:r>
          <a:endParaRPr lang="en-US" altLang="zh-CN" sz="1400"/>
        </a:p>
        <a:p>
          <a:pPr algn="l"/>
          <a:r>
            <a:rPr lang="en-US" altLang="zh-CN" sz="1400"/>
            <a:t>60/80/100</a:t>
          </a:r>
          <a:r>
            <a:rPr lang="zh-CN" altLang="en-US" sz="1400"/>
            <a:t>克</a:t>
          </a:r>
          <a:r>
            <a:rPr lang="en-US" altLang="zh-CN" sz="1400"/>
            <a:t>/</a:t>
          </a:r>
          <a:r>
            <a:rPr lang="zh-CN" altLang="en-US" sz="1400"/>
            <a:t>双胶纸价格：</a:t>
          </a:r>
          <a:r>
            <a:rPr lang="en-US" altLang="zh-CN" sz="1400"/>
            <a:t>6000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r>
            <a:rPr lang="en-US" altLang="zh-CN" sz="1400"/>
            <a:t>.</a:t>
          </a:r>
          <a:endParaRPr lang="en-US" altLang="zh-CN" sz="1400"/>
        </a:p>
        <a:p>
          <a:pPr algn="l"/>
          <a:r>
            <a:rPr lang="en-US" altLang="zh-CN" sz="1400"/>
            <a:t>60/70/80/120/150</a:t>
          </a:r>
          <a:r>
            <a:rPr lang="zh-CN" altLang="en-US" sz="1400"/>
            <a:t>克白牛皮价格：</a:t>
          </a:r>
          <a:r>
            <a:rPr lang="en-US" altLang="zh-CN" sz="1400"/>
            <a:t>6000-6500</a:t>
          </a:r>
          <a:r>
            <a:rPr lang="zh-CN" altLang="en-US" sz="1400"/>
            <a:t>吨</a:t>
          </a:r>
          <a:endParaRPr lang="en-US" altLang="zh-CN" sz="1400"/>
        </a:p>
        <a:p>
          <a:pPr algn="l"/>
          <a:r>
            <a:rPr lang="en-US" altLang="zh-CN" sz="1400"/>
            <a:t>60/80/120</a:t>
          </a:r>
          <a:r>
            <a:rPr lang="zh-CN" altLang="en-US" sz="1400"/>
            <a:t>克食品级牛皮价格：</a:t>
          </a:r>
          <a:r>
            <a:rPr lang="en-US" altLang="zh-CN" sz="1400"/>
            <a:t>10000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endParaRPr lang="zh-CN" altLang="en-US" sz="1400"/>
        </a:p>
        <a:p>
          <a:pPr algn="l"/>
          <a:r>
            <a:rPr lang="en-US" altLang="zh-CN" sz="1400"/>
            <a:t>50/60/80</a:t>
          </a:r>
          <a:r>
            <a:rPr lang="zh-CN" altLang="en-US" sz="1400"/>
            <a:t>克铝箔纸价格</a:t>
          </a:r>
          <a:r>
            <a:rPr lang="en-US" altLang="zh-CN" sz="1400"/>
            <a:t>12000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endParaRPr lang="zh-CN" altLang="en-US" sz="1400"/>
        </a:p>
        <a:p>
          <a:pPr algn="l"/>
          <a:r>
            <a:rPr lang="en-US" altLang="zh-CN" sz="1400"/>
            <a:t>130/170</a:t>
          </a:r>
          <a:r>
            <a:rPr lang="zh-CN" altLang="en-US" sz="1400"/>
            <a:t>克黄牛皮</a:t>
          </a:r>
          <a:r>
            <a:rPr lang="en-US" altLang="zh-CN" sz="1400"/>
            <a:t>3500</a:t>
          </a:r>
          <a:r>
            <a:rPr lang="zh-CN" altLang="en-US" sz="1400"/>
            <a:t>元</a:t>
          </a:r>
          <a:r>
            <a:rPr lang="en-US" altLang="zh-CN" sz="1400"/>
            <a:t>/</a:t>
          </a:r>
          <a:r>
            <a:rPr lang="zh-CN" altLang="en-US" sz="1400"/>
            <a:t>吨</a:t>
          </a:r>
          <a:endParaRPr lang="zh-CN" altLang="en-US" sz="1400"/>
        </a:p>
      </xdr:txBody>
    </xdr:sp>
    <xdr:clientData/>
  </xdr:twoCellAnchor>
  <xdr:twoCellAnchor>
    <xdr:from>
      <xdr:col>25</xdr:col>
      <xdr:colOff>76200</xdr:colOff>
      <xdr:row>11</xdr:row>
      <xdr:rowOff>38100</xdr:rowOff>
    </xdr:from>
    <xdr:to>
      <xdr:col>25</xdr:col>
      <xdr:colOff>371475</xdr:colOff>
      <xdr:row>21</xdr:row>
      <xdr:rowOff>381000</xdr:rowOff>
    </xdr:to>
    <xdr:sp>
      <xdr:nvSpPr>
        <xdr:cNvPr id="3" name="文本框 2"/>
        <xdr:cNvSpPr txBox="1"/>
      </xdr:nvSpPr>
      <xdr:spPr>
        <a:xfrm>
          <a:off x="21435695" y="3778250"/>
          <a:ext cx="295275" cy="308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结果会直接到参考价格，损耗率可调。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7"/>
  <sheetViews>
    <sheetView tabSelected="1" zoomScale="90" zoomScaleNormal="90" workbookViewId="0">
      <selection activeCell="A3" sqref="A3:P3"/>
    </sheetView>
  </sheetViews>
  <sheetFormatPr defaultColWidth="9" defaultRowHeight="13.5"/>
  <cols>
    <col min="2" max="2" width="13.5" customWidth="1"/>
    <col min="3" max="3" width="15.5" customWidth="1"/>
    <col min="4" max="4" width="12.75" customWidth="1"/>
    <col min="5" max="5" width="13.5" customWidth="1"/>
    <col min="6" max="6" width="18.25" customWidth="1"/>
    <col min="7" max="7" width="15.625" customWidth="1"/>
    <col min="8" max="8" width="15.125" customWidth="1"/>
    <col min="9" max="9" width="14.4333333333333" customWidth="1"/>
    <col min="10" max="10" width="19"/>
    <col min="12" max="12" width="11.375" customWidth="1"/>
    <col min="13" max="13" width="11" customWidth="1"/>
    <col min="15" max="15" width="13.875" customWidth="1"/>
    <col min="16" max="16" width="12.125" customWidth="1"/>
    <col min="18" max="18" width="11.5" customWidth="1"/>
    <col min="22" max="22" width="6.875" customWidth="1"/>
    <col min="23" max="23" width="15.625" customWidth="1"/>
    <col min="27" max="27" width="10" customWidth="1"/>
  </cols>
  <sheetData>
    <row r="1" spans="1:37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R1" s="238" t="s">
        <v>0</v>
      </c>
      <c r="S1" s="238"/>
      <c r="T1" s="239"/>
      <c r="U1" s="238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ht="38" customHeight="1" spans="1:37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36"/>
      <c r="R2" s="94" t="s">
        <v>2</v>
      </c>
      <c r="S2" s="179"/>
      <c r="T2" s="9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ht="20.25" spans="1:37">
      <c r="A3" s="67" t="s">
        <v>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39"/>
      <c r="Q3" s="36"/>
      <c r="R3" s="82"/>
      <c r="S3" s="82" t="s">
        <v>4</v>
      </c>
      <c r="T3" s="82" t="s">
        <v>5</v>
      </c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ht="23" customHeight="1" spans="1:37">
      <c r="A4" s="69"/>
      <c r="B4" s="69"/>
      <c r="C4" s="69"/>
      <c r="D4" s="69"/>
      <c r="E4" s="69"/>
      <c r="F4" s="69"/>
      <c r="G4" s="69"/>
      <c r="H4" s="69"/>
      <c r="I4" s="69"/>
      <c r="J4" s="109" t="s">
        <v>6</v>
      </c>
      <c r="K4" s="110"/>
      <c r="L4" s="109" t="s">
        <v>7</v>
      </c>
      <c r="M4" s="110"/>
      <c r="N4" s="109" t="s">
        <v>8</v>
      </c>
      <c r="O4" s="110"/>
      <c r="P4" s="69"/>
      <c r="Q4" s="36"/>
      <c r="R4" s="82"/>
      <c r="S4" s="91">
        <v>37</v>
      </c>
      <c r="T4" s="91">
        <v>34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ht="18" customHeight="1" spans="1:37">
      <c r="A5" s="70"/>
      <c r="B5" s="70"/>
      <c r="C5" s="71" t="s">
        <v>9</v>
      </c>
      <c r="D5" s="71" t="s">
        <v>10</v>
      </c>
      <c r="E5" s="71" t="s">
        <v>11</v>
      </c>
      <c r="F5" s="71" t="s">
        <v>12</v>
      </c>
      <c r="G5" s="71" t="s">
        <v>13</v>
      </c>
      <c r="H5" s="70" t="s">
        <v>14</v>
      </c>
      <c r="I5" s="70" t="s">
        <v>15</v>
      </c>
      <c r="J5" s="140" t="s">
        <v>16</v>
      </c>
      <c r="K5" s="141" t="s">
        <v>17</v>
      </c>
      <c r="L5" s="111" t="s">
        <v>18</v>
      </c>
      <c r="M5" s="111" t="s">
        <v>19</v>
      </c>
      <c r="N5" s="142" t="s">
        <v>18</v>
      </c>
      <c r="O5" s="142" t="s">
        <v>19</v>
      </c>
      <c r="P5" s="70"/>
      <c r="Q5" s="36"/>
      <c r="R5" s="82" t="s">
        <v>20</v>
      </c>
      <c r="S5" s="82">
        <f>面纸开数!G78</f>
        <v>6</v>
      </c>
      <c r="T5" s="82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</row>
    <row r="6" ht="27" customHeight="1" spans="1:37">
      <c r="A6" s="72"/>
      <c r="B6" s="73"/>
      <c r="C6" s="73">
        <v>10</v>
      </c>
      <c r="D6" s="73">
        <v>32.5</v>
      </c>
      <c r="E6" s="73">
        <v>5000</v>
      </c>
      <c r="F6" s="199">
        <v>0</v>
      </c>
      <c r="G6" s="199">
        <v>29</v>
      </c>
      <c r="H6" s="199">
        <v>0</v>
      </c>
      <c r="I6" s="199">
        <v>0.7</v>
      </c>
      <c r="J6" s="143">
        <v>30</v>
      </c>
      <c r="K6" s="143">
        <v>500</v>
      </c>
      <c r="L6" s="112">
        <v>200</v>
      </c>
      <c r="M6" s="112">
        <v>5000</v>
      </c>
      <c r="N6" s="228">
        <v>350</v>
      </c>
      <c r="O6" s="228">
        <v>6000</v>
      </c>
      <c r="P6" s="69"/>
      <c r="Q6" s="36"/>
      <c r="R6" s="82" t="s">
        <v>21</v>
      </c>
      <c r="S6" s="82">
        <f>面纸开数!G70</f>
        <v>6</v>
      </c>
      <c r="T6" s="82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ht="21" customHeight="1" spans="1:20">
      <c r="A7" s="69"/>
      <c r="B7" s="109" t="s">
        <v>22</v>
      </c>
      <c r="C7" s="110"/>
      <c r="D7" s="109" t="s">
        <v>23</v>
      </c>
      <c r="E7" s="200"/>
      <c r="F7" s="201" t="s">
        <v>24</v>
      </c>
      <c r="G7" s="202"/>
      <c r="H7" s="203" t="str">
        <f>面纸开数!K39</f>
        <v>正规</v>
      </c>
      <c r="I7" s="229" t="s">
        <v>25</v>
      </c>
      <c r="J7" s="179" t="s">
        <v>26</v>
      </c>
      <c r="K7" s="95"/>
      <c r="L7" s="109" t="s">
        <v>27</v>
      </c>
      <c r="M7" s="110"/>
      <c r="N7" s="109" t="s">
        <v>28</v>
      </c>
      <c r="O7" s="110"/>
      <c r="P7" s="69"/>
      <c r="Q7" s="36"/>
      <c r="R7" s="180" t="s">
        <v>29</v>
      </c>
      <c r="S7" s="181">
        <v>0.9</v>
      </c>
      <c r="T7" s="180"/>
    </row>
    <row r="8" ht="20" customHeight="1" spans="1:26">
      <c r="A8" s="70"/>
      <c r="B8" s="111" t="s">
        <v>18</v>
      </c>
      <c r="C8" s="111" t="s">
        <v>19</v>
      </c>
      <c r="D8" s="71" t="s">
        <v>18</v>
      </c>
      <c r="E8" s="204" t="s">
        <v>30</v>
      </c>
      <c r="F8" s="205" t="s">
        <v>4</v>
      </c>
      <c r="G8" s="206" t="s">
        <v>5</v>
      </c>
      <c r="H8" s="207">
        <f>面纸开数!L39</f>
        <v>6</v>
      </c>
      <c r="I8" s="230">
        <v>6</v>
      </c>
      <c r="J8" s="231" t="s">
        <v>21</v>
      </c>
      <c r="K8" s="232" t="s">
        <v>20</v>
      </c>
      <c r="L8" s="111" t="s">
        <v>18</v>
      </c>
      <c r="M8" s="111" t="s">
        <v>19</v>
      </c>
      <c r="N8" s="142" t="s">
        <v>31</v>
      </c>
      <c r="O8" s="142" t="s">
        <v>30</v>
      </c>
      <c r="P8" s="70"/>
      <c r="Q8" s="36"/>
      <c r="R8" s="82" t="s">
        <v>32</v>
      </c>
      <c r="S8" s="91">
        <v>1.1</v>
      </c>
      <c r="T8" s="180"/>
      <c r="Z8" s="36"/>
    </row>
    <row r="9" ht="29" customHeight="1" spans="1:26">
      <c r="A9" s="72">
        <v>10</v>
      </c>
      <c r="B9" s="112">
        <v>30</v>
      </c>
      <c r="C9" s="112">
        <v>5000</v>
      </c>
      <c r="D9" s="112">
        <v>450</v>
      </c>
      <c r="E9" s="208">
        <v>26.5</v>
      </c>
      <c r="F9" s="209">
        <v>30</v>
      </c>
      <c r="G9" s="210">
        <v>36</v>
      </c>
      <c r="H9" s="211">
        <f>面纸开数!M39</f>
        <v>0.15</v>
      </c>
      <c r="I9" s="233">
        <f>H9/I8</f>
        <v>0.025</v>
      </c>
      <c r="J9" s="234">
        <v>1.1</v>
      </c>
      <c r="K9" s="143">
        <v>0.9</v>
      </c>
      <c r="L9" s="112">
        <v>200</v>
      </c>
      <c r="M9" s="112">
        <v>6000</v>
      </c>
      <c r="N9" s="144">
        <v>1400</v>
      </c>
      <c r="O9" s="144">
        <v>15000</v>
      </c>
      <c r="P9" s="69"/>
      <c r="Q9" s="36"/>
      <c r="R9" s="82"/>
      <c r="S9" s="82"/>
      <c r="T9" s="180" t="s">
        <v>33</v>
      </c>
      <c r="Z9" s="36"/>
    </row>
    <row r="10" ht="18" customHeight="1" spans="1:26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36"/>
      <c r="R10" s="78" t="s">
        <v>34</v>
      </c>
      <c r="S10" s="78" t="str">
        <f>面纸开数!K74</f>
        <v>正规</v>
      </c>
      <c r="T10" s="240">
        <f>面纸开数!M74</f>
        <v>0.15</v>
      </c>
      <c r="Z10" s="36"/>
    </row>
    <row r="11" ht="25.5" spans="1:26">
      <c r="A11" s="212" t="s">
        <v>35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32"/>
      <c r="P11" s="132"/>
      <c r="Q11" s="36"/>
      <c r="R11" s="82" t="s">
        <v>36</v>
      </c>
      <c r="S11" s="91">
        <v>2</v>
      </c>
      <c r="T11" s="180">
        <f>T10/S11</f>
        <v>0.075</v>
      </c>
      <c r="Z11" s="36"/>
    </row>
    <row r="12" ht="21" customHeight="1" spans="1:28">
      <c r="A12" s="116"/>
      <c r="B12" s="78" t="s">
        <v>37</v>
      </c>
      <c r="C12" s="78"/>
      <c r="D12" s="79" t="s">
        <v>38</v>
      </c>
      <c r="E12" s="79"/>
      <c r="F12" s="80" t="s">
        <v>39</v>
      </c>
      <c r="G12" s="80"/>
      <c r="H12" s="81" t="s">
        <v>40</v>
      </c>
      <c r="I12" s="81"/>
      <c r="J12" s="81"/>
      <c r="K12" s="81"/>
      <c r="L12" s="170" t="s">
        <v>41</v>
      </c>
      <c r="M12" s="171"/>
      <c r="N12" s="172" t="s">
        <v>42</v>
      </c>
      <c r="O12" s="151"/>
      <c r="P12" s="173"/>
      <c r="Q12" s="36"/>
      <c r="R12" s="36"/>
      <c r="S12" s="36"/>
      <c r="W12" s="182" t="s">
        <v>43</v>
      </c>
      <c r="X12" s="182"/>
      <c r="Y12" s="182"/>
      <c r="Z12" s="182"/>
      <c r="AA12" s="182"/>
      <c r="AB12" s="182"/>
    </row>
    <row r="13" ht="24" customHeight="1" spans="1:28">
      <c r="A13" s="116"/>
      <c r="B13" s="117" t="s">
        <v>44</v>
      </c>
      <c r="C13" s="117"/>
      <c r="D13" s="118" t="s">
        <v>45</v>
      </c>
      <c r="E13" s="79"/>
      <c r="F13" s="213" t="s">
        <v>46</v>
      </c>
      <c r="G13" s="93"/>
      <c r="H13" s="119"/>
      <c r="I13" s="119"/>
      <c r="J13" s="119"/>
      <c r="K13" s="119"/>
      <c r="L13" s="174" t="s">
        <v>47</v>
      </c>
      <c r="M13" s="175"/>
      <c r="N13" s="176" t="s">
        <v>48</v>
      </c>
      <c r="O13" s="156"/>
      <c r="P13" s="132"/>
      <c r="Q13" s="36"/>
      <c r="W13" s="183"/>
      <c r="X13" s="183" t="s">
        <v>49</v>
      </c>
      <c r="Y13" s="184" t="s">
        <v>50</v>
      </c>
      <c r="Z13" s="184" t="s">
        <v>51</v>
      </c>
      <c r="AA13" s="98" t="s">
        <v>52</v>
      </c>
      <c r="AB13" s="98" t="s">
        <v>53</v>
      </c>
    </row>
    <row r="14" ht="18" customHeight="1" spans="1:28">
      <c r="A14" s="116"/>
      <c r="B14" s="120" t="s">
        <v>54</v>
      </c>
      <c r="C14" s="121">
        <f>(D6+2)*C6*3.1415/10000</f>
        <v>0.10838175</v>
      </c>
      <c r="D14" s="128" t="s">
        <v>55</v>
      </c>
      <c r="E14" s="88">
        <f>(C6+1)*(C6+1)*2/10000</f>
        <v>0.0242</v>
      </c>
      <c r="F14" s="93" t="s">
        <v>56</v>
      </c>
      <c r="G14" s="93">
        <f>C6*3.1415+1.2+C6+0.8</f>
        <v>43.415</v>
      </c>
      <c r="H14" s="87" t="s">
        <v>57</v>
      </c>
      <c r="I14" s="87">
        <f>ROUND(45/C6,0)</f>
        <v>5</v>
      </c>
      <c r="J14" s="87">
        <f>C6*I14+1.5</f>
        <v>51.5</v>
      </c>
      <c r="K14" s="87" t="s">
        <v>58</v>
      </c>
      <c r="L14" s="157" t="s">
        <v>59</v>
      </c>
      <c r="M14" s="157">
        <f>J6/K6*(D6+2)/100+J6/K6*(G6+H6)/100</f>
        <v>0.0381</v>
      </c>
      <c r="N14" s="159" t="s">
        <v>60</v>
      </c>
      <c r="O14" s="159">
        <f>J14*J15*J16/1000000</f>
        <v>0.21220575</v>
      </c>
      <c r="P14" s="132"/>
      <c r="Q14" s="36"/>
      <c r="W14" s="184">
        <v>1</v>
      </c>
      <c r="X14" s="91">
        <v>180</v>
      </c>
      <c r="Y14" s="91">
        <v>6500</v>
      </c>
      <c r="Z14" s="91">
        <v>3</v>
      </c>
      <c r="AA14" s="98">
        <f>X14*Y14*Z14/1000000</f>
        <v>3.51</v>
      </c>
      <c r="AB14" s="98"/>
    </row>
    <row r="15" ht="20" customHeight="1" spans="1:28">
      <c r="A15" s="116"/>
      <c r="B15" s="123" t="s">
        <v>61</v>
      </c>
      <c r="C15" s="124">
        <v>4.5</v>
      </c>
      <c r="D15" s="214" t="s">
        <v>62</v>
      </c>
      <c r="E15" s="91">
        <v>3.7</v>
      </c>
      <c r="F15" s="93" t="s">
        <v>63</v>
      </c>
      <c r="G15" s="93">
        <f>D6+2</f>
        <v>34.5</v>
      </c>
      <c r="H15" s="87" t="s">
        <v>64</v>
      </c>
      <c r="I15" s="87">
        <f>ROUND(55/C6,0)</f>
        <v>6</v>
      </c>
      <c r="J15" s="87">
        <f>C6*I15+1.5</f>
        <v>61.5</v>
      </c>
      <c r="K15" s="87" t="s">
        <v>58</v>
      </c>
      <c r="L15" s="157" t="s">
        <v>65</v>
      </c>
      <c r="M15" s="91">
        <v>0</v>
      </c>
      <c r="N15" s="159" t="s">
        <v>66</v>
      </c>
      <c r="O15" s="131">
        <v>60</v>
      </c>
      <c r="P15" s="132"/>
      <c r="Q15" s="36"/>
      <c r="W15" s="184">
        <v>2</v>
      </c>
      <c r="X15" s="91">
        <v>80</v>
      </c>
      <c r="Y15" s="91">
        <v>5400</v>
      </c>
      <c r="Z15" s="91">
        <v>1</v>
      </c>
      <c r="AA15" s="98">
        <f>X15*Y15*Z15/1000000</f>
        <v>0.432</v>
      </c>
      <c r="AB15" s="98"/>
    </row>
    <row r="16" ht="17" customHeight="1" spans="1:28">
      <c r="A16" s="116"/>
      <c r="B16" s="126" t="s">
        <v>67</v>
      </c>
      <c r="C16" s="127">
        <f>AA18*AB18</f>
        <v>4.5333</v>
      </c>
      <c r="D16" s="128" t="s">
        <v>68</v>
      </c>
      <c r="E16" s="88">
        <f>E15*E14</f>
        <v>0.08954</v>
      </c>
      <c r="F16" s="93" t="s">
        <v>69</v>
      </c>
      <c r="G16" s="131">
        <v>10</v>
      </c>
      <c r="H16" s="87" t="s">
        <v>70</v>
      </c>
      <c r="I16" s="87">
        <f>ROUND(50/D6,0)</f>
        <v>2</v>
      </c>
      <c r="J16" s="87">
        <f>D6*I16+2</f>
        <v>67</v>
      </c>
      <c r="K16" s="87" t="s">
        <v>58</v>
      </c>
      <c r="L16" s="7" t="s">
        <v>27</v>
      </c>
      <c r="M16" s="6">
        <f>L9/M9</f>
        <v>0.0333333333333333</v>
      </c>
      <c r="N16" s="160" t="s">
        <v>71</v>
      </c>
      <c r="O16" s="159">
        <f>O14*O15</f>
        <v>12.732345</v>
      </c>
      <c r="P16" s="132"/>
      <c r="Q16" s="36"/>
      <c r="R16" s="36"/>
      <c r="S16" s="36"/>
      <c r="W16" s="184">
        <v>3</v>
      </c>
      <c r="X16" s="91">
        <v>130</v>
      </c>
      <c r="Y16" s="91">
        <v>3500</v>
      </c>
      <c r="Z16" s="91">
        <v>0</v>
      </c>
      <c r="AA16" s="98">
        <f>X16*Y16*Z16/1000000</f>
        <v>0</v>
      </c>
      <c r="AB16" s="98"/>
    </row>
    <row r="17" ht="15" customHeight="1" spans="1:28">
      <c r="A17" s="116"/>
      <c r="B17" s="129" t="s">
        <v>72</v>
      </c>
      <c r="C17" s="130">
        <f>C15*C14</f>
        <v>0.487717875</v>
      </c>
      <c r="D17" s="128" t="s">
        <v>73</v>
      </c>
      <c r="E17" s="131">
        <v>0.05</v>
      </c>
      <c r="F17" s="98" t="s">
        <v>74</v>
      </c>
      <c r="G17" s="98">
        <f>I9</f>
        <v>0.025</v>
      </c>
      <c r="H17" s="87" t="s">
        <v>75</v>
      </c>
      <c r="I17" s="87">
        <f>I16*I15*I14</f>
        <v>60</v>
      </c>
      <c r="J17" s="87"/>
      <c r="K17" s="87"/>
      <c r="L17" s="157" t="s">
        <v>76</v>
      </c>
      <c r="M17" s="157">
        <f>B9/C9</f>
        <v>0.006</v>
      </c>
      <c r="N17" s="161" t="s">
        <v>77</v>
      </c>
      <c r="O17" s="161">
        <f>O16/I17</f>
        <v>0.21220575</v>
      </c>
      <c r="P17" s="132"/>
      <c r="Q17" s="36"/>
      <c r="R17" s="36"/>
      <c r="S17" s="36"/>
      <c r="W17" s="184">
        <v>4</v>
      </c>
      <c r="X17" s="91"/>
      <c r="Y17" s="91"/>
      <c r="Z17" s="91"/>
      <c r="AA17" s="98">
        <f>X17*Y17*Z17/1000000</f>
        <v>0</v>
      </c>
      <c r="AB17" s="98"/>
    </row>
    <row r="18" ht="17" customHeight="1" spans="1:28">
      <c r="A18" s="116"/>
      <c r="B18" s="120" t="s">
        <v>78</v>
      </c>
      <c r="C18" s="121">
        <f>(C6-0.2)*3.14159*(G6+H6)/10000</f>
        <v>0.0892839878</v>
      </c>
      <c r="D18" s="128" t="s">
        <v>79</v>
      </c>
      <c r="E18" s="131">
        <v>0</v>
      </c>
      <c r="F18" s="93" t="s">
        <v>80</v>
      </c>
      <c r="G18" s="91">
        <v>0.03</v>
      </c>
      <c r="H18" s="87" t="s">
        <v>81</v>
      </c>
      <c r="I18" s="87">
        <f>((J16+J14)*(J15+J14)*2+2)/10000</f>
        <v>2.6783</v>
      </c>
      <c r="J18" s="91">
        <v>3.6</v>
      </c>
      <c r="K18" s="87" t="s">
        <v>82</v>
      </c>
      <c r="L18" s="157" t="s">
        <v>83</v>
      </c>
      <c r="M18" s="157">
        <f>2+H6</f>
        <v>2</v>
      </c>
      <c r="N18" s="177"/>
      <c r="O18" s="177"/>
      <c r="P18" s="132"/>
      <c r="Q18" s="36"/>
      <c r="S18" s="36"/>
      <c r="W18" s="185"/>
      <c r="X18" s="185"/>
      <c r="Y18" s="185"/>
      <c r="Z18" s="183" t="s">
        <v>84</v>
      </c>
      <c r="AA18" s="98">
        <f>AA14+AA15+AA16+AA17</f>
        <v>3.942</v>
      </c>
      <c r="AB18" s="91">
        <v>1.15</v>
      </c>
    </row>
    <row r="19" ht="18" customHeight="1" spans="1:28">
      <c r="A19" s="116"/>
      <c r="B19" s="123" t="s">
        <v>85</v>
      </c>
      <c r="C19" s="124">
        <v>4.5</v>
      </c>
      <c r="D19" s="128" t="s">
        <v>86</v>
      </c>
      <c r="E19" s="131"/>
      <c r="F19" s="93" t="s">
        <v>87</v>
      </c>
      <c r="G19" s="93">
        <f>F6*G15*G14/10000</f>
        <v>0</v>
      </c>
      <c r="H19" s="87" t="s">
        <v>88</v>
      </c>
      <c r="I19" s="87">
        <f>I18*J18</f>
        <v>9.64188</v>
      </c>
      <c r="J19" s="87"/>
      <c r="K19" s="87"/>
      <c r="L19" s="157" t="s">
        <v>89</v>
      </c>
      <c r="M19" s="157">
        <f>M18*M17</f>
        <v>0.012</v>
      </c>
      <c r="N19" s="176" t="s">
        <v>90</v>
      </c>
      <c r="O19" s="156"/>
      <c r="P19" s="132"/>
      <c r="Q19" s="36"/>
      <c r="R19" s="36"/>
      <c r="S19" s="36"/>
      <c r="W19" s="186" t="s">
        <v>91</v>
      </c>
      <c r="X19" s="187"/>
      <c r="Y19" s="187"/>
      <c r="Z19" s="187"/>
      <c r="AA19" s="187"/>
      <c r="AB19" s="194"/>
    </row>
    <row r="20" ht="18" customHeight="1" spans="1:28">
      <c r="A20" s="116"/>
      <c r="B20" s="126" t="s">
        <v>67</v>
      </c>
      <c r="C20" s="127">
        <f>AA24*AB24</f>
        <v>4.5333</v>
      </c>
      <c r="D20" s="128" t="s">
        <v>92</v>
      </c>
      <c r="E20" s="91"/>
      <c r="F20" s="93" t="s">
        <v>93</v>
      </c>
      <c r="G20" s="93">
        <f>IF(300/E6&lt;0.03,0.03,300/E6)</f>
        <v>0.06</v>
      </c>
      <c r="H20" s="87" t="s">
        <v>94</v>
      </c>
      <c r="I20" s="87">
        <f>I19/I17</f>
        <v>0.160698</v>
      </c>
      <c r="J20" s="87"/>
      <c r="K20" s="87"/>
      <c r="L20" s="157" t="s">
        <v>95</v>
      </c>
      <c r="M20" s="91">
        <v>0.05</v>
      </c>
      <c r="N20" s="159" t="s">
        <v>96</v>
      </c>
      <c r="O20" s="159">
        <f>O14*(E6/I17)</f>
        <v>17.6838125</v>
      </c>
      <c r="P20" s="132"/>
      <c r="Q20" s="36"/>
      <c r="R20" s="36"/>
      <c r="S20" s="36"/>
      <c r="W20" s="184">
        <v>1</v>
      </c>
      <c r="X20" s="91">
        <v>180</v>
      </c>
      <c r="Y20" s="91">
        <v>6500</v>
      </c>
      <c r="Z20" s="91">
        <v>3</v>
      </c>
      <c r="AA20" s="98">
        <f t="shared" ref="AA20:AA23" si="0">X20*Y20*Z20/1000000</f>
        <v>3.51</v>
      </c>
      <c r="AB20" s="98"/>
    </row>
    <row r="21" ht="24" customHeight="1" spans="1:28">
      <c r="A21" s="132"/>
      <c r="B21" s="215" t="s">
        <v>97</v>
      </c>
      <c r="C21" s="216">
        <f>C19*C18</f>
        <v>0.4017779451</v>
      </c>
      <c r="D21" s="128" t="s">
        <v>98</v>
      </c>
      <c r="E21" s="91"/>
      <c r="F21" s="93" t="s">
        <v>99</v>
      </c>
      <c r="G21" s="91">
        <v>0</v>
      </c>
      <c r="H21" s="87"/>
      <c r="I21" s="87"/>
      <c r="J21" s="87"/>
      <c r="K21" s="87"/>
      <c r="L21" s="157" t="s">
        <v>100</v>
      </c>
      <c r="M21" s="157">
        <f>D9/E9</f>
        <v>16.9811320754717</v>
      </c>
      <c r="N21" s="161" t="s">
        <v>101</v>
      </c>
      <c r="O21" s="91">
        <v>15000</v>
      </c>
      <c r="P21" s="132"/>
      <c r="Q21" s="36"/>
      <c r="R21" s="36"/>
      <c r="S21" s="36"/>
      <c r="W21" s="184">
        <v>2</v>
      </c>
      <c r="X21" s="91">
        <v>80</v>
      </c>
      <c r="Y21" s="91">
        <v>5400</v>
      </c>
      <c r="Z21" s="91">
        <v>1</v>
      </c>
      <c r="AA21" s="98">
        <f t="shared" si="0"/>
        <v>0.432</v>
      </c>
      <c r="AB21" s="98"/>
    </row>
    <row r="22" ht="18" customHeight="1" spans="1:28">
      <c r="A22" s="132"/>
      <c r="B22" s="82"/>
      <c r="C22" s="82"/>
      <c r="D22" s="128" t="s">
        <v>102</v>
      </c>
      <c r="E22" s="91"/>
      <c r="F22" s="93" t="s">
        <v>103</v>
      </c>
      <c r="G22" s="91"/>
      <c r="H22" s="87"/>
      <c r="I22" s="87"/>
      <c r="J22" s="87"/>
      <c r="K22" s="87"/>
      <c r="L22" s="6" t="s">
        <v>104</v>
      </c>
      <c r="M22" s="181">
        <v>0.03</v>
      </c>
      <c r="N22" s="177" t="s">
        <v>105</v>
      </c>
      <c r="O22" s="161">
        <f>O21/E6</f>
        <v>3</v>
      </c>
      <c r="P22" s="132"/>
      <c r="Q22" s="36"/>
      <c r="R22" s="36"/>
      <c r="S22" s="36"/>
      <c r="W22" s="184">
        <v>3</v>
      </c>
      <c r="X22" s="91"/>
      <c r="Y22" s="91"/>
      <c r="Z22" s="91"/>
      <c r="AA22" s="98">
        <f t="shared" si="0"/>
        <v>0</v>
      </c>
      <c r="AB22" s="98"/>
    </row>
    <row r="23" ht="18" customHeight="1" spans="1:28">
      <c r="A23" s="134"/>
      <c r="B23" s="82" t="s">
        <v>106</v>
      </c>
      <c r="C23" s="82">
        <f>C14*I6</f>
        <v>0.075867225</v>
      </c>
      <c r="D23" s="93"/>
      <c r="E23" s="93"/>
      <c r="F23" s="93" t="s">
        <v>107</v>
      </c>
      <c r="G23" s="93">
        <v>0</v>
      </c>
      <c r="H23" s="87"/>
      <c r="I23" s="87"/>
      <c r="J23" s="87"/>
      <c r="K23" s="87"/>
      <c r="L23" s="157" t="s">
        <v>108</v>
      </c>
      <c r="M23" s="157">
        <f>N9/O9</f>
        <v>0.0933333333333333</v>
      </c>
      <c r="N23" s="161"/>
      <c r="O23" s="161"/>
      <c r="P23" s="132"/>
      <c r="Q23" s="36"/>
      <c r="R23" s="36"/>
      <c r="S23" s="36"/>
      <c r="W23" s="184">
        <v>4</v>
      </c>
      <c r="X23" s="91"/>
      <c r="Y23" s="91"/>
      <c r="Z23" s="91"/>
      <c r="AA23" s="98">
        <f t="shared" si="0"/>
        <v>0</v>
      </c>
      <c r="AB23" s="98"/>
    </row>
    <row r="24" ht="19" customHeight="1" spans="1:37">
      <c r="A24" s="217"/>
      <c r="B24" s="180"/>
      <c r="C24" s="180"/>
      <c r="D24" s="218"/>
      <c r="E24" s="218"/>
      <c r="F24" s="218"/>
      <c r="G24" s="218"/>
      <c r="H24" s="219"/>
      <c r="I24" s="219"/>
      <c r="J24" s="219"/>
      <c r="K24" s="219"/>
      <c r="L24" s="6" t="s">
        <v>109</v>
      </c>
      <c r="M24" s="6"/>
      <c r="N24" s="235"/>
      <c r="O24" s="235"/>
      <c r="P24" s="217"/>
      <c r="Q24" s="36"/>
      <c r="R24" s="36"/>
      <c r="S24" s="36"/>
      <c r="W24" s="185"/>
      <c r="X24" s="185"/>
      <c r="Y24" s="185"/>
      <c r="Z24" s="183" t="s">
        <v>84</v>
      </c>
      <c r="AA24" s="98">
        <f>AA20+AA21+AA22+AA23</f>
        <v>3.942</v>
      </c>
      <c r="AB24" s="91">
        <v>1.15</v>
      </c>
      <c r="AG24" s="36"/>
      <c r="AH24" s="36"/>
      <c r="AI24" s="36"/>
      <c r="AJ24" s="36"/>
      <c r="AK24" s="36"/>
    </row>
    <row r="25" ht="17" customHeight="1" spans="1:37">
      <c r="A25" s="217"/>
      <c r="B25" s="180"/>
      <c r="C25" s="180"/>
      <c r="D25" s="218"/>
      <c r="E25" s="218"/>
      <c r="F25" s="218"/>
      <c r="G25" s="218"/>
      <c r="H25" s="219"/>
      <c r="I25" s="219"/>
      <c r="J25" s="219"/>
      <c r="K25" s="219"/>
      <c r="L25" s="6" t="s">
        <v>109</v>
      </c>
      <c r="M25" s="6"/>
      <c r="N25" s="235"/>
      <c r="O25" s="235"/>
      <c r="P25" s="217"/>
      <c r="Q25" s="36"/>
      <c r="R25" s="36"/>
      <c r="S25" s="36"/>
      <c r="W25" s="186" t="s">
        <v>110</v>
      </c>
      <c r="X25" s="187"/>
      <c r="Y25" s="187"/>
      <c r="Z25" s="187"/>
      <c r="AA25" s="187"/>
      <c r="AB25" s="194"/>
      <c r="AG25" s="36"/>
      <c r="AH25" s="36"/>
      <c r="AI25" s="36"/>
      <c r="AJ25" s="36"/>
      <c r="AK25" s="36"/>
    </row>
    <row r="26" ht="20" customHeight="1" spans="1:37">
      <c r="A26" s="217"/>
      <c r="B26" s="180"/>
      <c r="C26" s="180"/>
      <c r="D26" s="218"/>
      <c r="E26" s="218"/>
      <c r="F26" s="218"/>
      <c r="G26" s="218"/>
      <c r="H26" s="219"/>
      <c r="I26" s="219"/>
      <c r="J26" s="219"/>
      <c r="K26" s="219"/>
      <c r="L26" s="6" t="s">
        <v>109</v>
      </c>
      <c r="M26" s="6"/>
      <c r="N26" s="235"/>
      <c r="O26" s="235"/>
      <c r="P26" s="217"/>
      <c r="Q26" s="36"/>
      <c r="R26" s="36"/>
      <c r="S26" s="36"/>
      <c r="W26" s="184">
        <v>1</v>
      </c>
      <c r="X26" s="91">
        <v>180</v>
      </c>
      <c r="Y26" s="91">
        <v>5000</v>
      </c>
      <c r="Z26" s="91">
        <v>3</v>
      </c>
      <c r="AA26" s="98">
        <f>X26*Y26*Z26/1000000</f>
        <v>2.7</v>
      </c>
      <c r="AB26" s="98"/>
      <c r="AG26" s="36"/>
      <c r="AH26" s="36"/>
      <c r="AI26" s="36"/>
      <c r="AJ26" s="36"/>
      <c r="AK26" s="36"/>
    </row>
    <row r="27" ht="19" customHeight="1" spans="1:37">
      <c r="A27" s="217"/>
      <c r="B27" s="180"/>
      <c r="C27" s="180"/>
      <c r="D27" s="218"/>
      <c r="E27" s="218"/>
      <c r="F27" s="218"/>
      <c r="G27" s="218"/>
      <c r="H27" s="219"/>
      <c r="I27" s="219"/>
      <c r="J27" s="219"/>
      <c r="K27" s="219"/>
      <c r="L27" s="150" t="s">
        <v>111</v>
      </c>
      <c r="M27" s="157">
        <f>M14+M15+M16+M19+M20+M21+M22+M23+M24+M25+M26</f>
        <v>17.2378987421384</v>
      </c>
      <c r="N27" s="235"/>
      <c r="O27" s="235"/>
      <c r="P27" s="217"/>
      <c r="Q27" s="36"/>
      <c r="R27" s="36"/>
      <c r="S27" s="36"/>
      <c r="T27" s="36"/>
      <c r="U27" s="36"/>
      <c r="V27" s="36"/>
      <c r="W27" s="184">
        <v>2</v>
      </c>
      <c r="X27" s="91">
        <v>80</v>
      </c>
      <c r="Y27" s="91">
        <v>5000</v>
      </c>
      <c r="Z27" s="91">
        <v>1</v>
      </c>
      <c r="AA27" s="98">
        <f>X27*Y27*Z27/1000000</f>
        <v>0.4</v>
      </c>
      <c r="AB27" s="98"/>
      <c r="AG27" s="36"/>
      <c r="AH27" s="36"/>
      <c r="AI27" s="36"/>
      <c r="AJ27" s="36"/>
      <c r="AK27" s="36"/>
    </row>
    <row r="28" ht="25.5" spans="1:37">
      <c r="A28" s="132"/>
      <c r="B28" s="136"/>
      <c r="C28" s="136" t="s">
        <v>112</v>
      </c>
      <c r="D28" s="136"/>
      <c r="E28" s="137" t="s">
        <v>113</v>
      </c>
      <c r="F28" s="136"/>
      <c r="G28" s="137" t="s">
        <v>39</v>
      </c>
      <c r="H28" s="136"/>
      <c r="I28" s="136"/>
      <c r="J28" s="137" t="s">
        <v>114</v>
      </c>
      <c r="K28" s="136"/>
      <c r="L28" s="136"/>
      <c r="M28" s="137" t="s">
        <v>115</v>
      </c>
      <c r="N28" s="136"/>
      <c r="O28" s="137" t="s">
        <v>77</v>
      </c>
      <c r="P28" s="168" t="s">
        <v>116</v>
      </c>
      <c r="Q28" s="36"/>
      <c r="R28" s="36"/>
      <c r="S28" s="36"/>
      <c r="T28" s="36"/>
      <c r="U28" s="36"/>
      <c r="V28" s="36"/>
      <c r="W28" s="184">
        <v>2</v>
      </c>
      <c r="X28" s="91"/>
      <c r="Y28" s="91"/>
      <c r="Z28" s="91"/>
      <c r="AA28" s="98">
        <f>X28*Y28*Z28/1000000</f>
        <v>0</v>
      </c>
      <c r="AB28" s="98"/>
      <c r="AG28" s="36"/>
      <c r="AH28" s="36"/>
      <c r="AI28" s="36"/>
      <c r="AJ28" s="36"/>
      <c r="AK28" s="36"/>
    </row>
    <row r="29" ht="27" customHeight="1" spans="1:28">
      <c r="A29" s="132"/>
      <c r="B29" s="103" t="s">
        <v>117</v>
      </c>
      <c r="C29" s="104">
        <f>C17+C21+C23</f>
        <v>0.9653630451</v>
      </c>
      <c r="D29" s="138"/>
      <c r="E29" s="104">
        <f>E19+0+E17+E16+E18+E20+E21+E22</f>
        <v>0.13954</v>
      </c>
      <c r="F29" s="104"/>
      <c r="G29" s="104">
        <f>G20+G19+G18+G21+G22+G23</f>
        <v>0.09</v>
      </c>
      <c r="H29" s="104"/>
      <c r="I29" s="104"/>
      <c r="J29" s="104">
        <f>I20</f>
        <v>0.160698</v>
      </c>
      <c r="K29" s="104"/>
      <c r="L29" s="104"/>
      <c r="M29" s="138">
        <f>M27</f>
        <v>17.2378987421384</v>
      </c>
      <c r="N29" s="104"/>
      <c r="O29" s="166">
        <v>0</v>
      </c>
      <c r="P29" s="104">
        <f>ROUND(C29+E29+J29+M29+G29+O29,3)</f>
        <v>18.593</v>
      </c>
      <c r="Q29" s="36"/>
      <c r="R29" s="36"/>
      <c r="W29" s="184">
        <v>4</v>
      </c>
      <c r="X29" s="91"/>
      <c r="Y29" s="91"/>
      <c r="Z29" s="91"/>
      <c r="AA29" s="98">
        <f>X29*Y29*Z29/1000000</f>
        <v>0</v>
      </c>
      <c r="AB29" s="98"/>
    </row>
    <row r="30" ht="24" customHeight="1" spans="1:28">
      <c r="A30" s="132"/>
      <c r="B30" s="73" t="s">
        <v>118</v>
      </c>
      <c r="C30" s="105">
        <v>0.36</v>
      </c>
      <c r="D30" s="104"/>
      <c r="E30" s="105">
        <v>0.07</v>
      </c>
      <c r="F30" s="104"/>
      <c r="G30" s="105">
        <v>0</v>
      </c>
      <c r="H30" s="104"/>
      <c r="I30" s="104"/>
      <c r="J30" s="105">
        <v>0.03</v>
      </c>
      <c r="K30" s="104"/>
      <c r="L30" s="104"/>
      <c r="M30" s="105">
        <v>0.35</v>
      </c>
      <c r="N30" s="104"/>
      <c r="O30" s="105">
        <v>0</v>
      </c>
      <c r="P30" s="104">
        <f>O30+M30+J30+G30+E30+C30</f>
        <v>0.81</v>
      </c>
      <c r="Q30" s="36"/>
      <c r="R30" s="36"/>
      <c r="W30" s="185"/>
      <c r="X30" s="185"/>
      <c r="Y30" s="185"/>
      <c r="Z30" s="188" t="s">
        <v>84</v>
      </c>
      <c r="AA30" s="98">
        <f>AA26+AA27+AA28+AA29</f>
        <v>3.1</v>
      </c>
      <c r="AB30" s="91">
        <v>1.05</v>
      </c>
    </row>
    <row r="31" ht="27" customHeight="1" spans="1:18">
      <c r="A31" s="132"/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32"/>
      <c r="R31" s="36"/>
    </row>
    <row r="32" ht="18" customHeight="1" spans="1:1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R32" s="36"/>
    </row>
    <row r="33" ht="15" customHeight="1" spans="18:18">
      <c r="R33" s="36"/>
    </row>
    <row r="34" ht="18" customHeight="1" spans="1:18">
      <c r="A34" s="69"/>
      <c r="B34" s="69"/>
      <c r="C34" s="69"/>
      <c r="D34" s="69"/>
      <c r="E34" s="69"/>
      <c r="F34" s="69"/>
      <c r="G34" s="69"/>
      <c r="H34" s="69"/>
      <c r="I34" s="69"/>
      <c r="J34" s="109" t="s">
        <v>6</v>
      </c>
      <c r="K34" s="110"/>
      <c r="L34" s="109" t="s">
        <v>7</v>
      </c>
      <c r="M34" s="110"/>
      <c r="N34" s="109" t="s">
        <v>8</v>
      </c>
      <c r="O34" s="110"/>
      <c r="P34" s="69"/>
      <c r="R34" s="36"/>
    </row>
    <row r="35" ht="18" customHeight="1" spans="1:18">
      <c r="A35" s="70"/>
      <c r="B35" s="70"/>
      <c r="C35" s="71" t="s">
        <v>9</v>
      </c>
      <c r="D35" s="71" t="s">
        <v>10</v>
      </c>
      <c r="E35" s="71" t="s">
        <v>11</v>
      </c>
      <c r="F35" s="71" t="s">
        <v>12</v>
      </c>
      <c r="G35" s="71" t="s">
        <v>13</v>
      </c>
      <c r="H35" s="70" t="s">
        <v>14</v>
      </c>
      <c r="I35" s="70" t="s">
        <v>15</v>
      </c>
      <c r="J35" s="140" t="s">
        <v>16</v>
      </c>
      <c r="K35" s="141" t="s">
        <v>17</v>
      </c>
      <c r="L35" s="111" t="s">
        <v>18</v>
      </c>
      <c r="M35" s="111" t="s">
        <v>19</v>
      </c>
      <c r="N35" s="142" t="s">
        <v>18</v>
      </c>
      <c r="O35" s="142" t="s">
        <v>19</v>
      </c>
      <c r="P35" s="70"/>
      <c r="R35" s="36"/>
    </row>
    <row r="36" ht="14.25" spans="1:18">
      <c r="A36" s="72"/>
      <c r="B36" s="73"/>
      <c r="C36" s="73">
        <v>8.5</v>
      </c>
      <c r="D36" s="73">
        <v>12</v>
      </c>
      <c r="E36" s="73">
        <v>5000</v>
      </c>
      <c r="F36" s="73">
        <v>0.5</v>
      </c>
      <c r="G36" s="73">
        <v>14</v>
      </c>
      <c r="H36" s="73">
        <v>0</v>
      </c>
      <c r="I36" s="73">
        <v>0.7</v>
      </c>
      <c r="J36" s="143">
        <v>30</v>
      </c>
      <c r="K36" s="143">
        <v>500</v>
      </c>
      <c r="L36" s="112">
        <v>200</v>
      </c>
      <c r="M36" s="112">
        <v>5000</v>
      </c>
      <c r="N36" s="228">
        <v>350</v>
      </c>
      <c r="O36" s="228">
        <v>6000</v>
      </c>
      <c r="P36" s="69"/>
      <c r="R36" s="36"/>
    </row>
    <row r="37" ht="18" customHeight="1" spans="1:18">
      <c r="A37" s="69"/>
      <c r="B37" s="109" t="s">
        <v>22</v>
      </c>
      <c r="C37" s="110"/>
      <c r="D37" s="109" t="s">
        <v>23</v>
      </c>
      <c r="E37" s="110"/>
      <c r="F37" s="220" t="s">
        <v>119</v>
      </c>
      <c r="G37" s="202"/>
      <c r="H37" s="203" t="str">
        <f>面纸开数!AA39</f>
        <v>正规</v>
      </c>
      <c r="I37" s="229" t="s">
        <v>25</v>
      </c>
      <c r="J37" s="179" t="s">
        <v>26</v>
      </c>
      <c r="K37" s="95"/>
      <c r="L37" s="109" t="s">
        <v>27</v>
      </c>
      <c r="M37" s="110"/>
      <c r="N37" s="109" t="s">
        <v>28</v>
      </c>
      <c r="O37" s="110"/>
      <c r="P37" s="69"/>
      <c r="R37" s="36"/>
    </row>
    <row r="38" ht="24" customHeight="1" spans="1:18">
      <c r="A38" s="70"/>
      <c r="B38" s="111" t="s">
        <v>18</v>
      </c>
      <c r="C38" s="111" t="s">
        <v>19</v>
      </c>
      <c r="D38" s="71" t="s">
        <v>18</v>
      </c>
      <c r="E38" s="71" t="s">
        <v>30</v>
      </c>
      <c r="F38" s="205" t="s">
        <v>4</v>
      </c>
      <c r="G38" s="206" t="s">
        <v>5</v>
      </c>
      <c r="H38" s="207">
        <f>面纸开数!AB39</f>
        <v>8</v>
      </c>
      <c r="I38" s="230">
        <v>1</v>
      </c>
      <c r="J38" s="231" t="s">
        <v>21</v>
      </c>
      <c r="K38" s="232" t="s">
        <v>20</v>
      </c>
      <c r="L38" s="111" t="s">
        <v>18</v>
      </c>
      <c r="M38" s="111" t="s">
        <v>19</v>
      </c>
      <c r="N38" s="142" t="s">
        <v>31</v>
      </c>
      <c r="O38" s="142" t="s">
        <v>30</v>
      </c>
      <c r="P38" s="70"/>
      <c r="R38" s="36"/>
    </row>
    <row r="39" ht="18" customHeight="1" spans="1:18">
      <c r="A39" s="72"/>
      <c r="B39" s="112">
        <v>200</v>
      </c>
      <c r="C39" s="112">
        <v>8000</v>
      </c>
      <c r="D39" s="112">
        <v>450</v>
      </c>
      <c r="E39" s="112">
        <v>7000</v>
      </c>
      <c r="F39" s="209">
        <v>34</v>
      </c>
      <c r="G39" s="210">
        <v>27</v>
      </c>
      <c r="H39" s="211">
        <f>面纸开数!AC39</f>
        <v>0.1125</v>
      </c>
      <c r="I39" s="233">
        <f>H39/I38</f>
        <v>0.1125</v>
      </c>
      <c r="J39" s="234">
        <v>1.1</v>
      </c>
      <c r="K39" s="143">
        <v>0.9</v>
      </c>
      <c r="L39" s="112">
        <v>200</v>
      </c>
      <c r="M39" s="112">
        <v>6000</v>
      </c>
      <c r="N39" s="144">
        <v>1400</v>
      </c>
      <c r="O39" s="144">
        <v>15000</v>
      </c>
      <c r="P39" s="69"/>
      <c r="R39" s="36"/>
    </row>
    <row r="40" ht="18" customHeight="1" spans="1:18">
      <c r="A40" s="221" t="s">
        <v>120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83"/>
      <c r="P40" s="83"/>
      <c r="R40" s="36"/>
    </row>
    <row r="41" ht="18" customHeight="1" spans="1:18">
      <c r="A41" s="126"/>
      <c r="B41" s="78" t="s">
        <v>37</v>
      </c>
      <c r="C41" s="78"/>
      <c r="D41" s="79" t="s">
        <v>38</v>
      </c>
      <c r="E41" s="79"/>
      <c r="F41" s="80" t="s">
        <v>39</v>
      </c>
      <c r="G41" s="80"/>
      <c r="H41" s="81" t="s">
        <v>40</v>
      </c>
      <c r="I41" s="81"/>
      <c r="J41" s="81"/>
      <c r="K41" s="81"/>
      <c r="L41" s="170" t="s">
        <v>41</v>
      </c>
      <c r="M41" s="171"/>
      <c r="N41" s="172" t="s">
        <v>42</v>
      </c>
      <c r="O41" s="151"/>
      <c r="P41" s="236"/>
      <c r="R41" s="36"/>
    </row>
    <row r="42" ht="19" customHeight="1" spans="1:18">
      <c r="A42" s="126"/>
      <c r="B42" s="117" t="s">
        <v>44</v>
      </c>
      <c r="C42" s="117"/>
      <c r="D42" s="118" t="s">
        <v>45</v>
      </c>
      <c r="E42" s="79"/>
      <c r="F42" s="223" t="s">
        <v>121</v>
      </c>
      <c r="G42" s="93"/>
      <c r="H42" s="119" t="s">
        <v>122</v>
      </c>
      <c r="I42" s="119"/>
      <c r="J42" s="119"/>
      <c r="K42" s="119"/>
      <c r="L42" s="174" t="s">
        <v>47</v>
      </c>
      <c r="M42" s="175"/>
      <c r="N42" s="176" t="s">
        <v>48</v>
      </c>
      <c r="O42" s="156"/>
      <c r="P42" s="83"/>
      <c r="R42" s="36"/>
    </row>
    <row r="43" ht="16" customHeight="1" spans="1:18">
      <c r="A43" s="126"/>
      <c r="B43" s="120" t="s">
        <v>54</v>
      </c>
      <c r="C43" s="121">
        <f>(D36+1.5)*C36*3.1415/10000</f>
        <v>0.0360487125</v>
      </c>
      <c r="D43" s="128" t="s">
        <v>123</v>
      </c>
      <c r="E43" s="88">
        <f>(C36+1)*(C36+1)*2/10000</f>
        <v>0.01805</v>
      </c>
      <c r="F43" s="93" t="s">
        <v>56</v>
      </c>
      <c r="G43" s="93">
        <f>C36*3.1415+1.2+C36+0.8</f>
        <v>37.20275</v>
      </c>
      <c r="H43" s="87" t="s">
        <v>57</v>
      </c>
      <c r="I43" s="87">
        <f>ROUND(45/C36,0)</f>
        <v>5</v>
      </c>
      <c r="J43" s="87">
        <f>C36*I43+1.5</f>
        <v>44</v>
      </c>
      <c r="K43" s="87" t="s">
        <v>58</v>
      </c>
      <c r="L43" s="157" t="s">
        <v>59</v>
      </c>
      <c r="M43" s="157">
        <f>J6/K6*(D6+2)/100+J6/K6*(G6+H6)/100</f>
        <v>0.0381</v>
      </c>
      <c r="N43" s="159" t="s">
        <v>60</v>
      </c>
      <c r="O43" s="159">
        <f>J43*J44*J45/1000000</f>
        <v>0.1155</v>
      </c>
      <c r="P43" s="83"/>
      <c r="R43" s="36"/>
    </row>
    <row r="44" ht="18" customHeight="1" spans="1:18">
      <c r="A44" s="126"/>
      <c r="B44" s="123" t="s">
        <v>61</v>
      </c>
      <c r="C44" s="124">
        <v>4.6</v>
      </c>
      <c r="D44" s="214" t="s">
        <v>62</v>
      </c>
      <c r="E44" s="91">
        <v>4.5</v>
      </c>
      <c r="F44" s="93" t="s">
        <v>63</v>
      </c>
      <c r="G44" s="93">
        <f>D36+1+G36</f>
        <v>27</v>
      </c>
      <c r="H44" s="87" t="s">
        <v>64</v>
      </c>
      <c r="I44" s="87">
        <f>ROUND(55/C36,0)</f>
        <v>6</v>
      </c>
      <c r="J44" s="87">
        <f>C36*I44+1.5</f>
        <v>52.5</v>
      </c>
      <c r="K44" s="87" t="s">
        <v>58</v>
      </c>
      <c r="L44" s="157" t="s">
        <v>65</v>
      </c>
      <c r="M44" s="91">
        <v>0.05</v>
      </c>
      <c r="N44" s="159" t="s">
        <v>66</v>
      </c>
      <c r="O44" s="131">
        <v>120</v>
      </c>
      <c r="P44" s="83"/>
      <c r="R44" s="36"/>
    </row>
    <row r="45" ht="22" customHeight="1" spans="1:18">
      <c r="A45" s="126"/>
      <c r="B45" s="126" t="s">
        <v>67</v>
      </c>
      <c r="C45" s="127">
        <f>AA18*AB18</f>
        <v>4.5333</v>
      </c>
      <c r="D45" s="128" t="s">
        <v>68</v>
      </c>
      <c r="E45" s="88">
        <f>E44*E43</f>
        <v>0.081225</v>
      </c>
      <c r="F45" s="93" t="s">
        <v>69</v>
      </c>
      <c r="G45" s="131">
        <v>1</v>
      </c>
      <c r="H45" s="87" t="s">
        <v>70</v>
      </c>
      <c r="I45" s="87">
        <f>ROUND(50/D36,0)</f>
        <v>4</v>
      </c>
      <c r="J45" s="87">
        <f>D36*I45+2</f>
        <v>50</v>
      </c>
      <c r="K45" s="87" t="s">
        <v>58</v>
      </c>
      <c r="L45" s="6" t="s">
        <v>27</v>
      </c>
      <c r="M45" s="6">
        <f>L39/M39</f>
        <v>0.0333333333333333</v>
      </c>
      <c r="N45" s="160" t="s">
        <v>71</v>
      </c>
      <c r="O45" s="159">
        <f>O43*O44</f>
        <v>13.86</v>
      </c>
      <c r="P45" s="83"/>
      <c r="R45" s="36"/>
    </row>
    <row r="46" ht="19" customHeight="1" spans="1:18">
      <c r="A46" s="126"/>
      <c r="B46" s="129" t="s">
        <v>72</v>
      </c>
      <c r="C46" s="130">
        <f>C44*C43</f>
        <v>0.1658240775</v>
      </c>
      <c r="D46" s="128" t="s">
        <v>73</v>
      </c>
      <c r="E46" s="131">
        <v>0.05</v>
      </c>
      <c r="F46" s="98" t="s">
        <v>74</v>
      </c>
      <c r="G46" s="98">
        <f>I39</f>
        <v>0.1125</v>
      </c>
      <c r="H46" s="87" t="s">
        <v>75</v>
      </c>
      <c r="I46" s="87">
        <f>I45*I44*I43</f>
        <v>120</v>
      </c>
      <c r="J46" s="87"/>
      <c r="K46" s="87"/>
      <c r="L46" s="157" t="s">
        <v>76</v>
      </c>
      <c r="M46" s="157">
        <f>B39/C39</f>
        <v>0.025</v>
      </c>
      <c r="N46" s="161" t="s">
        <v>77</v>
      </c>
      <c r="O46" s="161">
        <f>O45/I46</f>
        <v>0.1155</v>
      </c>
      <c r="P46" s="83"/>
      <c r="R46" s="36"/>
    </row>
    <row r="47" ht="20" customHeight="1" spans="1:18">
      <c r="A47" s="126"/>
      <c r="B47" s="120" t="s">
        <v>78</v>
      </c>
      <c r="C47" s="121">
        <f>(C36-0.2)*3.14159*(G36+H36+1.5)/10000</f>
        <v>0.04041655535</v>
      </c>
      <c r="D47" s="128" t="s">
        <v>79</v>
      </c>
      <c r="E47" s="131">
        <v>0</v>
      </c>
      <c r="F47" s="93" t="s">
        <v>80</v>
      </c>
      <c r="G47" s="91">
        <v>0.12</v>
      </c>
      <c r="H47" s="87" t="s">
        <v>81</v>
      </c>
      <c r="I47" s="87">
        <f>((J45+J43)*(J44+J43)*2+2)/10000</f>
        <v>1.8144</v>
      </c>
      <c r="J47" s="91">
        <v>4</v>
      </c>
      <c r="K47" s="87" t="s">
        <v>82</v>
      </c>
      <c r="L47" s="157" t="s">
        <v>83</v>
      </c>
      <c r="M47" s="157">
        <f>2+H36</f>
        <v>2</v>
      </c>
      <c r="N47" s="177"/>
      <c r="O47" s="177"/>
      <c r="P47" s="83"/>
      <c r="R47" s="36"/>
    </row>
    <row r="48" ht="18" customHeight="1" spans="1:18">
      <c r="A48" s="126"/>
      <c r="B48" s="123" t="s">
        <v>124</v>
      </c>
      <c r="C48" s="124">
        <v>4.6</v>
      </c>
      <c r="D48" s="128" t="s">
        <v>86</v>
      </c>
      <c r="E48" s="131"/>
      <c r="F48" s="93" t="s">
        <v>87</v>
      </c>
      <c r="G48" s="93">
        <f>F36*G43*G44/10000</f>
        <v>0.0502237125</v>
      </c>
      <c r="H48" s="87" t="s">
        <v>88</v>
      </c>
      <c r="I48" s="87">
        <f>I47*J47</f>
        <v>7.2576</v>
      </c>
      <c r="J48" s="87"/>
      <c r="K48" s="87"/>
      <c r="L48" s="157" t="s">
        <v>89</v>
      </c>
      <c r="M48" s="157">
        <f>M47*M46</f>
        <v>0.05</v>
      </c>
      <c r="N48" s="176" t="s">
        <v>90</v>
      </c>
      <c r="O48" s="156"/>
      <c r="P48" s="83"/>
      <c r="R48" s="36"/>
    </row>
    <row r="49" ht="19" customHeight="1" spans="1:16">
      <c r="A49" s="126"/>
      <c r="B49" s="126" t="s">
        <v>67</v>
      </c>
      <c r="C49" s="127">
        <f>AA24*AB24</f>
        <v>4.5333</v>
      </c>
      <c r="D49" s="128" t="s">
        <v>92</v>
      </c>
      <c r="E49" s="91"/>
      <c r="F49" s="93" t="s">
        <v>93</v>
      </c>
      <c r="G49" s="93">
        <f>IF(300/E36&lt;0.03/G45,0.03/G45,300/E36)</f>
        <v>0.06</v>
      </c>
      <c r="H49" s="87" t="s">
        <v>94</v>
      </c>
      <c r="I49" s="87">
        <f>I48/I46</f>
        <v>0.06048</v>
      </c>
      <c r="J49" s="87"/>
      <c r="K49" s="87"/>
      <c r="L49" s="157" t="s">
        <v>95</v>
      </c>
      <c r="M49" s="91">
        <v>0.03</v>
      </c>
      <c r="N49" s="159" t="s">
        <v>96</v>
      </c>
      <c r="O49" s="159">
        <f>O43*(E36/I46)</f>
        <v>4.8125</v>
      </c>
      <c r="P49" s="83"/>
    </row>
    <row r="50" ht="19" customHeight="1" spans="1:16">
      <c r="A50" s="83"/>
      <c r="B50" s="129" t="s">
        <v>97</v>
      </c>
      <c r="C50" s="130">
        <f>C48*C47</f>
        <v>0.18591615461</v>
      </c>
      <c r="D50" s="128" t="s">
        <v>98</v>
      </c>
      <c r="E50" s="91"/>
      <c r="F50" s="93" t="s">
        <v>99</v>
      </c>
      <c r="G50" s="91"/>
      <c r="H50" s="87"/>
      <c r="I50" s="87"/>
      <c r="J50" s="87"/>
      <c r="K50" s="87"/>
      <c r="L50" s="157" t="s">
        <v>125</v>
      </c>
      <c r="M50" s="157">
        <f>D39/E39</f>
        <v>0.0642857142857143</v>
      </c>
      <c r="N50" s="161" t="s">
        <v>101</v>
      </c>
      <c r="O50" s="91">
        <v>15000</v>
      </c>
      <c r="P50" s="83"/>
    </row>
    <row r="51" ht="15" customHeight="1" spans="1:16">
      <c r="A51" s="83"/>
      <c r="B51" s="133"/>
      <c r="C51" s="133"/>
      <c r="D51" s="88" t="s">
        <v>102</v>
      </c>
      <c r="E51" s="91"/>
      <c r="F51" s="93" t="s">
        <v>103</v>
      </c>
      <c r="G51" s="91"/>
      <c r="H51" s="87"/>
      <c r="I51" s="87"/>
      <c r="J51" s="87"/>
      <c r="K51" s="87"/>
      <c r="L51" s="157" t="s">
        <v>104</v>
      </c>
      <c r="M51" s="91">
        <v>0.03</v>
      </c>
      <c r="N51" s="177" t="s">
        <v>105</v>
      </c>
      <c r="O51" s="161">
        <f>O50/E36</f>
        <v>3</v>
      </c>
      <c r="P51" s="83"/>
    </row>
    <row r="52" ht="21" customHeight="1" spans="1:18">
      <c r="A52" s="224"/>
      <c r="B52" s="82" t="s">
        <v>106</v>
      </c>
      <c r="C52" s="82">
        <f>C43*I29</f>
        <v>0</v>
      </c>
      <c r="D52" s="88"/>
      <c r="E52" s="88"/>
      <c r="F52" s="93" t="s">
        <v>107</v>
      </c>
      <c r="G52" s="93">
        <v>0.08</v>
      </c>
      <c r="H52" s="225"/>
      <c r="I52" s="87"/>
      <c r="J52" s="87"/>
      <c r="K52" s="237"/>
      <c r="L52" s="157" t="s">
        <v>108</v>
      </c>
      <c r="M52" s="91">
        <f>N39/O39</f>
        <v>0.0933333333333333</v>
      </c>
      <c r="N52" s="161"/>
      <c r="O52" s="161"/>
      <c r="P52" s="83"/>
      <c r="R52" s="36"/>
    </row>
    <row r="53" ht="26" customHeight="1" spans="1:18">
      <c r="A53" s="226"/>
      <c r="B53" s="180"/>
      <c r="C53" s="180"/>
      <c r="D53" s="227"/>
      <c r="E53" s="227"/>
      <c r="F53" s="218"/>
      <c r="G53" s="218"/>
      <c r="H53" s="219"/>
      <c r="I53" s="219"/>
      <c r="J53" s="219"/>
      <c r="K53" s="219"/>
      <c r="L53" s="6"/>
      <c r="M53" s="7"/>
      <c r="N53" s="235"/>
      <c r="O53" s="235"/>
      <c r="P53" s="226"/>
      <c r="Q53" s="36"/>
      <c r="R53" s="36"/>
    </row>
    <row r="54" spans="1:18">
      <c r="A54" s="226"/>
      <c r="B54" s="180"/>
      <c r="C54" s="180"/>
      <c r="D54" s="227"/>
      <c r="E54" s="227"/>
      <c r="F54" s="218"/>
      <c r="G54" s="218"/>
      <c r="H54" s="219"/>
      <c r="I54" s="219"/>
      <c r="J54" s="219"/>
      <c r="K54" s="219"/>
      <c r="L54" s="6"/>
      <c r="M54" s="6"/>
      <c r="N54" s="235"/>
      <c r="O54" s="235"/>
      <c r="P54" s="226"/>
      <c r="Q54" s="36"/>
      <c r="R54" s="36"/>
    </row>
    <row r="55" spans="1:18">
      <c r="A55" s="226"/>
      <c r="B55" s="180"/>
      <c r="C55" s="180"/>
      <c r="D55" s="227"/>
      <c r="E55" s="227"/>
      <c r="F55" s="218"/>
      <c r="G55" s="218"/>
      <c r="H55" s="219"/>
      <c r="I55" s="219"/>
      <c r="J55" s="219"/>
      <c r="K55" s="219"/>
      <c r="L55" s="150" t="s">
        <v>111</v>
      </c>
      <c r="M55" s="157">
        <f>M43+M44+M48+M49+M50+M51+M52</f>
        <v>0.355719047619048</v>
      </c>
      <c r="N55" s="235"/>
      <c r="O55" s="235"/>
      <c r="P55" s="226"/>
      <c r="Q55" s="36"/>
      <c r="R55" s="36"/>
    </row>
    <row r="56" ht="25.5" spans="1:18">
      <c r="A56" s="83"/>
      <c r="B56" s="136"/>
      <c r="C56" s="136" t="s">
        <v>112</v>
      </c>
      <c r="D56" s="136"/>
      <c r="E56" s="137" t="s">
        <v>113</v>
      </c>
      <c r="F56" s="136"/>
      <c r="G56" s="137" t="s">
        <v>39</v>
      </c>
      <c r="H56" s="136"/>
      <c r="I56" s="136"/>
      <c r="J56" s="137" t="s">
        <v>114</v>
      </c>
      <c r="K56" s="136"/>
      <c r="L56" s="136"/>
      <c r="M56" s="137" t="s">
        <v>115</v>
      </c>
      <c r="N56" s="136"/>
      <c r="O56" s="137" t="s">
        <v>77</v>
      </c>
      <c r="P56" s="168" t="s">
        <v>116</v>
      </c>
      <c r="Q56" s="36"/>
      <c r="R56" s="36"/>
    </row>
    <row r="57" ht="22.5" spans="1:18">
      <c r="A57" s="83"/>
      <c r="B57" s="103" t="s">
        <v>117</v>
      </c>
      <c r="C57" s="104">
        <f>C46+C50+C52</f>
        <v>0.35174023211</v>
      </c>
      <c r="D57" s="138"/>
      <c r="E57" s="104">
        <f>E48+0+E46+E45+E47+E49+E50+E51</f>
        <v>0.131225</v>
      </c>
      <c r="F57" s="104"/>
      <c r="G57" s="104">
        <f>G49+G48+G47+G50+G51+G52</f>
        <v>0.3102237125</v>
      </c>
      <c r="H57" s="104"/>
      <c r="I57" s="104"/>
      <c r="J57" s="104">
        <f>I49</f>
        <v>0.06048</v>
      </c>
      <c r="K57" s="104"/>
      <c r="L57" s="104"/>
      <c r="M57" s="166">
        <f>M55</f>
        <v>0.355719047619048</v>
      </c>
      <c r="N57" s="104"/>
      <c r="O57" s="166">
        <v>0</v>
      </c>
      <c r="P57" s="104">
        <f>ROUND(C57+E57+J57+M57+G57+O57,3)</f>
        <v>1.209</v>
      </c>
      <c r="Q57" s="36"/>
      <c r="R57" s="36"/>
    </row>
    <row r="58" ht="22.5" spans="1:18">
      <c r="A58" s="83"/>
      <c r="B58" s="73" t="s">
        <v>118</v>
      </c>
      <c r="C58" s="105">
        <v>0.21</v>
      </c>
      <c r="D58" s="104"/>
      <c r="E58" s="105">
        <v>0.31</v>
      </c>
      <c r="F58" s="104"/>
      <c r="G58" s="105"/>
      <c r="H58" s="104"/>
      <c r="I58" s="104"/>
      <c r="J58" s="105">
        <v>0.067</v>
      </c>
      <c r="K58" s="104"/>
      <c r="L58" s="104"/>
      <c r="M58" s="105">
        <v>0.45</v>
      </c>
      <c r="N58" s="104"/>
      <c r="O58" s="105">
        <v>0.15</v>
      </c>
      <c r="P58" s="104">
        <f>O58+M58+J58+G58+E58+C58</f>
        <v>1.187</v>
      </c>
      <c r="Q58" s="36"/>
      <c r="R58" s="36"/>
    </row>
    <row r="59" ht="25.5" spans="1:18">
      <c r="A59" s="83"/>
      <c r="B59" s="221" t="s">
        <v>126</v>
      </c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83"/>
      <c r="Q59" s="36"/>
      <c r="R59" s="36"/>
    </row>
    <row r="60" spans="1:18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spans="1:18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spans="1:18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spans="1:18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spans="1:18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spans="1:18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 spans="1:18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spans="1:18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</row>
    <row r="68" spans="1:1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</row>
    <row r="69" spans="1:18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 spans="1:18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spans="1:18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</row>
    <row r="72" spans="1:18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spans="1:18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spans="1:18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spans="1:18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spans="1:18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  <row r="77" spans="1:18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</row>
  </sheetData>
  <mergeCells count="52">
    <mergeCell ref="A2:P2"/>
    <mergeCell ref="R2:T2"/>
    <mergeCell ref="A3:P3"/>
    <mergeCell ref="J4:K4"/>
    <mergeCell ref="L4:M4"/>
    <mergeCell ref="N4:O4"/>
    <mergeCell ref="B7:C7"/>
    <mergeCell ref="D7:E7"/>
    <mergeCell ref="F7:G7"/>
    <mergeCell ref="J7:K7"/>
    <mergeCell ref="L7:M7"/>
    <mergeCell ref="N7:O7"/>
    <mergeCell ref="A11:N11"/>
    <mergeCell ref="B12:C12"/>
    <mergeCell ref="D12:E12"/>
    <mergeCell ref="F12:G12"/>
    <mergeCell ref="L12:M12"/>
    <mergeCell ref="N12:O12"/>
    <mergeCell ref="W12:AB12"/>
    <mergeCell ref="B13:C13"/>
    <mergeCell ref="D13:E13"/>
    <mergeCell ref="F13:G13"/>
    <mergeCell ref="H13:K13"/>
    <mergeCell ref="L13:M13"/>
    <mergeCell ref="N13:O13"/>
    <mergeCell ref="N19:O19"/>
    <mergeCell ref="W19:AB19"/>
    <mergeCell ref="W25:AB25"/>
    <mergeCell ref="B31:O31"/>
    <mergeCell ref="J34:K34"/>
    <mergeCell ref="L34:M34"/>
    <mergeCell ref="N34:O34"/>
    <mergeCell ref="B37:C37"/>
    <mergeCell ref="D37:E37"/>
    <mergeCell ref="F37:G37"/>
    <mergeCell ref="J37:K37"/>
    <mergeCell ref="L37:M37"/>
    <mergeCell ref="N37:O37"/>
    <mergeCell ref="A40:N40"/>
    <mergeCell ref="B41:C41"/>
    <mergeCell ref="D41:E41"/>
    <mergeCell ref="F41:G41"/>
    <mergeCell ref="L41:M41"/>
    <mergeCell ref="N41:O41"/>
    <mergeCell ref="B42:C42"/>
    <mergeCell ref="D42:E42"/>
    <mergeCell ref="F42:G42"/>
    <mergeCell ref="H42:K42"/>
    <mergeCell ref="L42:M42"/>
    <mergeCell ref="N42:O42"/>
    <mergeCell ref="N48:O48"/>
    <mergeCell ref="B59:O5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75"/>
  <sheetViews>
    <sheetView zoomScale="90" zoomScaleNormal="90" workbookViewId="0">
      <selection activeCell="O18" sqref="O18"/>
    </sheetView>
  </sheetViews>
  <sheetFormatPr defaultColWidth="9" defaultRowHeight="13.5"/>
  <cols>
    <col min="1" max="1" width="5.75" style="36" customWidth="1"/>
    <col min="2" max="2" width="11.75" style="36" customWidth="1"/>
    <col min="3" max="3" width="12.375" style="36" customWidth="1"/>
    <col min="4" max="4" width="10.375" style="36" customWidth="1"/>
    <col min="5" max="5" width="12.125" style="36" customWidth="1"/>
    <col min="6" max="6" width="16" style="36" customWidth="1"/>
    <col min="7" max="7" width="12.875" style="36" customWidth="1"/>
    <col min="8" max="8" width="15.75" style="36" customWidth="1"/>
    <col min="9" max="9" width="15" style="36" customWidth="1"/>
    <col min="10" max="10" width="12.375" style="36" customWidth="1"/>
    <col min="11" max="11" width="5.41666666666667" style="36" customWidth="1"/>
    <col min="12" max="12" width="13.75" style="36" customWidth="1"/>
    <col min="13" max="13" width="12.125" style="36" customWidth="1"/>
    <col min="14" max="14" width="12.8083333333333" style="36" customWidth="1"/>
    <col min="15" max="15" width="14.8333333333333" style="36" customWidth="1"/>
    <col min="16" max="16" width="14.625" style="36"/>
    <col min="17" max="23" width="9" style="36"/>
    <col min="24" max="24" width="10.375" style="36" customWidth="1"/>
    <col min="25" max="27" width="9" style="36"/>
    <col min="28" max="28" width="9.99166666666667" style="36" customWidth="1"/>
    <col min="29" max="29" width="9" style="36"/>
    <col min="30" max="30" width="9.44166666666667" style="36" customWidth="1"/>
    <col min="31" max="16384" width="9" style="36"/>
  </cols>
  <sheetData>
    <row r="2" ht="42" customHeight="1" spans="1:16">
      <c r="A2" s="65" t="s">
        <v>127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ht="48" customHeight="1" spans="1:19">
      <c r="A3" s="67" t="s">
        <v>128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39"/>
      <c r="Q3" s="94" t="s">
        <v>129</v>
      </c>
      <c r="R3" s="179"/>
      <c r="S3" s="95"/>
    </row>
    <row r="4" ht="30" customHeight="1" spans="1:19">
      <c r="A4" s="69"/>
      <c r="B4" s="69"/>
      <c r="C4" s="69"/>
      <c r="D4" s="69"/>
      <c r="E4" s="69"/>
      <c r="F4" s="69"/>
      <c r="G4" s="69"/>
      <c r="H4" s="69"/>
      <c r="I4" s="69"/>
      <c r="J4" s="109" t="s">
        <v>6</v>
      </c>
      <c r="K4" s="110"/>
      <c r="L4" s="109" t="s">
        <v>7</v>
      </c>
      <c r="M4" s="110"/>
      <c r="N4" s="109" t="s">
        <v>8</v>
      </c>
      <c r="O4" s="110"/>
      <c r="P4" s="69"/>
      <c r="Q4" s="82"/>
      <c r="R4" s="82" t="s">
        <v>4</v>
      </c>
      <c r="S4" s="82" t="s">
        <v>5</v>
      </c>
    </row>
    <row r="5" ht="25" customHeight="1" spans="1:19">
      <c r="A5" s="70"/>
      <c r="B5" s="70" t="s">
        <v>130</v>
      </c>
      <c r="C5" s="71" t="s">
        <v>9</v>
      </c>
      <c r="D5" s="71" t="s">
        <v>10</v>
      </c>
      <c r="E5" s="71" t="s">
        <v>11</v>
      </c>
      <c r="F5" s="71" t="s">
        <v>12</v>
      </c>
      <c r="G5" s="71" t="s">
        <v>13</v>
      </c>
      <c r="H5" s="70" t="s">
        <v>14</v>
      </c>
      <c r="I5" s="70" t="s">
        <v>15</v>
      </c>
      <c r="J5" s="140" t="s">
        <v>16</v>
      </c>
      <c r="K5" s="141" t="s">
        <v>17</v>
      </c>
      <c r="L5" s="111" t="s">
        <v>18</v>
      </c>
      <c r="M5" s="111" t="s">
        <v>19</v>
      </c>
      <c r="N5" s="142" t="s">
        <v>18</v>
      </c>
      <c r="O5" s="142" t="s">
        <v>19</v>
      </c>
      <c r="P5" s="70"/>
      <c r="Q5" s="82"/>
      <c r="R5" s="91">
        <v>210</v>
      </c>
      <c r="S5" s="91">
        <v>190</v>
      </c>
    </row>
    <row r="6" ht="27" customHeight="1" spans="1:19">
      <c r="A6" s="72"/>
      <c r="B6" s="73">
        <v>94</v>
      </c>
      <c r="C6" s="73">
        <v>15.2</v>
      </c>
      <c r="D6" s="73">
        <v>31</v>
      </c>
      <c r="E6" s="73">
        <v>100000</v>
      </c>
      <c r="F6" s="73">
        <v>0.5</v>
      </c>
      <c r="G6" s="73">
        <v>0</v>
      </c>
      <c r="H6" s="73">
        <v>1</v>
      </c>
      <c r="I6" s="73">
        <v>0.7</v>
      </c>
      <c r="J6" s="143">
        <v>30</v>
      </c>
      <c r="K6" s="143">
        <v>500</v>
      </c>
      <c r="L6" s="112">
        <v>200</v>
      </c>
      <c r="M6" s="112">
        <v>5000</v>
      </c>
      <c r="N6" s="144">
        <v>350</v>
      </c>
      <c r="O6" s="144">
        <v>6000</v>
      </c>
      <c r="P6" s="69"/>
      <c r="Q6" s="82" t="s">
        <v>20</v>
      </c>
      <c r="R6" s="82">
        <f>面纸开数!G107</f>
        <v>20</v>
      </c>
      <c r="S6" s="82"/>
    </row>
    <row r="7" s="54" customFormat="1" ht="21" customHeight="1" spans="1:19">
      <c r="A7" s="74"/>
      <c r="B7" s="74"/>
      <c r="C7" s="74"/>
      <c r="D7" s="74" t="s">
        <v>131</v>
      </c>
      <c r="E7" s="74"/>
      <c r="F7" s="74"/>
      <c r="G7" s="74"/>
      <c r="H7" s="74"/>
      <c r="I7" s="74"/>
      <c r="J7" s="145"/>
      <c r="K7" s="146"/>
      <c r="L7" s="74"/>
      <c r="M7" s="147"/>
      <c r="N7" s="147"/>
      <c r="O7" s="147"/>
      <c r="P7" s="147"/>
      <c r="Q7" s="82" t="s">
        <v>21</v>
      </c>
      <c r="R7" s="82">
        <f>面纸开数!G99</f>
        <v>24</v>
      </c>
      <c r="S7" s="82"/>
    </row>
    <row r="8" ht="27" customHeight="1" spans="1:25">
      <c r="A8" s="75" t="s">
        <v>132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148"/>
      <c r="P8" s="149"/>
      <c r="Q8" s="180" t="s">
        <v>29</v>
      </c>
      <c r="R8" s="181">
        <v>0.9</v>
      </c>
      <c r="S8" s="180"/>
      <c r="T8" s="182" t="s">
        <v>43</v>
      </c>
      <c r="U8" s="182"/>
      <c r="V8" s="182"/>
      <c r="W8" s="182"/>
      <c r="X8" s="182"/>
      <c r="Y8" s="182"/>
    </row>
    <row r="9" ht="21" customHeight="1" spans="1:25">
      <c r="A9" s="77"/>
      <c r="B9" s="78" t="s">
        <v>37</v>
      </c>
      <c r="C9" s="78"/>
      <c r="D9" s="79" t="s">
        <v>133</v>
      </c>
      <c r="E9" s="79"/>
      <c r="F9" s="80" t="s">
        <v>39</v>
      </c>
      <c r="G9" s="80"/>
      <c r="H9" s="81" t="s">
        <v>134</v>
      </c>
      <c r="I9" s="81"/>
      <c r="J9" s="81"/>
      <c r="K9" s="81"/>
      <c r="L9" s="150" t="s">
        <v>41</v>
      </c>
      <c r="M9" s="150"/>
      <c r="N9" s="151" t="s">
        <v>42</v>
      </c>
      <c r="O9" s="152"/>
      <c r="P9" s="153"/>
      <c r="Q9" s="82" t="s">
        <v>32</v>
      </c>
      <c r="R9" s="91">
        <v>1.1</v>
      </c>
      <c r="S9" s="180"/>
      <c r="T9" s="183"/>
      <c r="U9" s="183" t="s">
        <v>49</v>
      </c>
      <c r="V9" s="184" t="s">
        <v>50</v>
      </c>
      <c r="W9" s="184" t="s">
        <v>51</v>
      </c>
      <c r="X9" s="98" t="s">
        <v>52</v>
      </c>
      <c r="Y9" s="98" t="s">
        <v>53</v>
      </c>
    </row>
    <row r="10" ht="19" customHeight="1" spans="1:25">
      <c r="A10" s="77"/>
      <c r="B10" s="82" t="s">
        <v>135</v>
      </c>
      <c r="C10" s="82">
        <f>C6</f>
        <v>15.2</v>
      </c>
      <c r="D10" s="83" t="s">
        <v>136</v>
      </c>
      <c r="E10" s="84" t="e">
        <f>AC31</f>
        <v>#N/A</v>
      </c>
      <c r="F10" s="85" t="s">
        <v>137</v>
      </c>
      <c r="G10" s="86"/>
      <c r="H10" s="87" t="s">
        <v>57</v>
      </c>
      <c r="I10" s="87">
        <f>ROUND(45/C6,0)</f>
        <v>3</v>
      </c>
      <c r="J10" s="87">
        <f>C6*I10+1.5</f>
        <v>47.1</v>
      </c>
      <c r="K10" s="87" t="s">
        <v>58</v>
      </c>
      <c r="L10" s="154" t="s">
        <v>138</v>
      </c>
      <c r="M10" s="150"/>
      <c r="N10" s="155" t="s">
        <v>48</v>
      </c>
      <c r="O10" s="156"/>
      <c r="P10" s="153"/>
      <c r="Q10" s="82"/>
      <c r="R10" s="82"/>
      <c r="S10" s="180" t="s">
        <v>33</v>
      </c>
      <c r="T10" s="184">
        <v>1</v>
      </c>
      <c r="U10" s="183">
        <v>300</v>
      </c>
      <c r="V10" s="183">
        <v>3000</v>
      </c>
      <c r="W10" s="183">
        <v>3</v>
      </c>
      <c r="X10" s="98">
        <f>U10*V10*W10/1000000</f>
        <v>2.7</v>
      </c>
      <c r="Y10" s="98"/>
    </row>
    <row r="11" ht="21" customHeight="1" spans="1:25">
      <c r="A11" s="77"/>
      <c r="B11" s="82" t="s">
        <v>139</v>
      </c>
      <c r="C11" s="82">
        <f>D6</f>
        <v>31</v>
      </c>
      <c r="D11" s="88" t="s">
        <v>140</v>
      </c>
      <c r="E11" s="89">
        <v>0.19</v>
      </c>
      <c r="F11" s="85" t="s">
        <v>141</v>
      </c>
      <c r="G11" s="86"/>
      <c r="H11" s="87" t="s">
        <v>64</v>
      </c>
      <c r="I11" s="87">
        <f>ROUND(55/C6,0)</f>
        <v>4</v>
      </c>
      <c r="J11" s="87">
        <f>C6*I11+1.5</f>
        <v>62.3</v>
      </c>
      <c r="K11" s="87" t="s">
        <v>58</v>
      </c>
      <c r="L11" s="157" t="s">
        <v>59</v>
      </c>
      <c r="M11" s="157">
        <f>J6/K6*D6/100</f>
        <v>0.0186</v>
      </c>
      <c r="N11" s="158" t="s">
        <v>60</v>
      </c>
      <c r="O11" s="159">
        <f>J10*J11*J12/1000000</f>
        <v>0.18779712</v>
      </c>
      <c r="P11" s="153"/>
      <c r="Q11" s="78" t="s">
        <v>34</v>
      </c>
      <c r="R11" s="78" t="str">
        <f>面纸开数!K103</f>
        <v>正规</v>
      </c>
      <c r="S11" s="78">
        <f>面纸开数!M103</f>
        <v>0.045</v>
      </c>
      <c r="T11" s="184">
        <v>2</v>
      </c>
      <c r="U11" s="183">
        <v>80</v>
      </c>
      <c r="V11" s="183">
        <v>12000</v>
      </c>
      <c r="W11" s="183">
        <v>1</v>
      </c>
      <c r="X11" s="98">
        <f>U11*V11*W11/1000000</f>
        <v>0.96</v>
      </c>
      <c r="Y11" s="98"/>
    </row>
    <row r="12" ht="18" customHeight="1" spans="1:25">
      <c r="A12" s="77"/>
      <c r="B12" s="82" t="s">
        <v>142</v>
      </c>
      <c r="C12" s="82">
        <f>C11*3.14159*C10/10000</f>
        <v>0.1480317208</v>
      </c>
      <c r="D12" s="83" t="s">
        <v>143</v>
      </c>
      <c r="E12" s="84" t="e">
        <f>AD31</f>
        <v>#N/A</v>
      </c>
      <c r="F12" s="90" t="s">
        <v>144</v>
      </c>
      <c r="G12" s="90" t="s">
        <v>145</v>
      </c>
      <c r="H12" s="87" t="s">
        <v>70</v>
      </c>
      <c r="I12" s="87">
        <f>ROUND(50/D6,0)</f>
        <v>2</v>
      </c>
      <c r="J12" s="87">
        <f>D6*I12+2</f>
        <v>64</v>
      </c>
      <c r="K12" s="87" t="s">
        <v>58</v>
      </c>
      <c r="L12" s="157" t="s">
        <v>65</v>
      </c>
      <c r="M12" s="91">
        <v>0</v>
      </c>
      <c r="N12" s="158" t="s">
        <v>66</v>
      </c>
      <c r="O12" s="131">
        <v>60</v>
      </c>
      <c r="P12" s="153"/>
      <c r="T12" s="184">
        <v>3</v>
      </c>
      <c r="U12" s="183">
        <v>170</v>
      </c>
      <c r="V12" s="183">
        <v>5000</v>
      </c>
      <c r="W12" s="183">
        <v>1</v>
      </c>
      <c r="X12" s="98">
        <f>U12*V12*W12/1000000</f>
        <v>0.85</v>
      </c>
      <c r="Y12" s="98"/>
    </row>
    <row r="13" ht="19" customHeight="1" spans="1:25">
      <c r="A13" s="77"/>
      <c r="B13" s="82" t="s">
        <v>146</v>
      </c>
      <c r="C13" s="91">
        <v>4.8</v>
      </c>
      <c r="D13" s="88" t="s">
        <v>147</v>
      </c>
      <c r="E13" s="89">
        <v>0.25</v>
      </c>
      <c r="F13" s="92" t="e">
        <f>印面价格!K16</f>
        <v>#DIV/0!</v>
      </c>
      <c r="G13" s="93" t="e">
        <f>印面价格!L16</f>
        <v>#DIV/0!</v>
      </c>
      <c r="H13" s="87" t="s">
        <v>75</v>
      </c>
      <c r="I13" s="87">
        <f>I12*I11*I10</f>
        <v>24</v>
      </c>
      <c r="J13" s="87"/>
      <c r="K13" s="87"/>
      <c r="L13" s="157" t="s">
        <v>148</v>
      </c>
      <c r="M13" s="91">
        <v>0.05</v>
      </c>
      <c r="N13" s="160" t="s">
        <v>71</v>
      </c>
      <c r="O13" s="159">
        <f>O11*O12</f>
        <v>11.2678272</v>
      </c>
      <c r="P13" s="153"/>
      <c r="T13" s="184">
        <v>4</v>
      </c>
      <c r="U13" s="183"/>
      <c r="V13" s="183"/>
      <c r="W13" s="183"/>
      <c r="X13" s="98">
        <f>U13*V13*W13/1000000</f>
        <v>0</v>
      </c>
      <c r="Y13" s="98"/>
    </row>
    <row r="14" ht="22" customHeight="1" spans="1:25">
      <c r="A14" s="77"/>
      <c r="B14" s="94" t="s">
        <v>67</v>
      </c>
      <c r="C14" s="95">
        <f>X14*Y14</f>
        <v>4.7355</v>
      </c>
      <c r="D14" s="88" t="s">
        <v>149</v>
      </c>
      <c r="E14" s="89">
        <v>0.2</v>
      </c>
      <c r="F14" s="92" t="s">
        <v>150</v>
      </c>
      <c r="G14" s="90" t="e">
        <f>印面价格!L17</f>
        <v>#DIV/0!</v>
      </c>
      <c r="H14" s="87" t="s">
        <v>81</v>
      </c>
      <c r="I14" s="87">
        <f>((J12+J10)*(J11+J10)*2+2)/10000</f>
        <v>2.431068</v>
      </c>
      <c r="J14" s="87"/>
      <c r="K14" s="87"/>
      <c r="L14" s="157" t="s">
        <v>151</v>
      </c>
      <c r="M14" s="157">
        <f>ROUND(N6/O6,3)</f>
        <v>0.058</v>
      </c>
      <c r="N14" s="161" t="s">
        <v>77</v>
      </c>
      <c r="O14" s="162">
        <f>O13/I13</f>
        <v>0.4694928</v>
      </c>
      <c r="P14" s="153"/>
      <c r="T14" s="185"/>
      <c r="U14" s="185"/>
      <c r="V14" s="185"/>
      <c r="W14" s="183" t="s">
        <v>84</v>
      </c>
      <c r="X14" s="98">
        <f>X10+X11+X12+X13</f>
        <v>4.51</v>
      </c>
      <c r="Y14" s="91">
        <v>1.05</v>
      </c>
    </row>
    <row r="15" ht="22" customHeight="1" spans="1:25">
      <c r="A15" s="77"/>
      <c r="B15" s="82" t="s">
        <v>152</v>
      </c>
      <c r="C15" s="82">
        <f>C12*C13</f>
        <v>0.71055225984</v>
      </c>
      <c r="D15" s="88" t="s">
        <v>79</v>
      </c>
      <c r="E15" s="91">
        <v>0</v>
      </c>
      <c r="F15" s="92" t="e">
        <f>印面价格!K18</f>
        <v>#DIV/0!</v>
      </c>
      <c r="G15" s="93" t="e">
        <f>印面价格!L18</f>
        <v>#DIV/0!</v>
      </c>
      <c r="H15" s="87" t="s">
        <v>153</v>
      </c>
      <c r="I15" s="91">
        <v>3.5</v>
      </c>
      <c r="J15" s="119" t="s">
        <v>154</v>
      </c>
      <c r="K15" s="163"/>
      <c r="L15" s="157" t="s">
        <v>7</v>
      </c>
      <c r="M15" s="157">
        <f>L6/M6</f>
        <v>0.04</v>
      </c>
      <c r="N15" s="155" t="s">
        <v>90</v>
      </c>
      <c r="O15" s="156"/>
      <c r="P15" s="153"/>
      <c r="T15" s="186" t="s">
        <v>91</v>
      </c>
      <c r="U15" s="187"/>
      <c r="V15" s="187"/>
      <c r="W15" s="187"/>
      <c r="X15" s="187"/>
      <c r="Y15" s="194"/>
    </row>
    <row r="16" ht="21" customHeight="1" spans="1:25">
      <c r="A16" s="96"/>
      <c r="B16" s="82"/>
      <c r="C16" s="82"/>
      <c r="D16" s="88" t="s">
        <v>86</v>
      </c>
      <c r="E16" s="91">
        <v>0</v>
      </c>
      <c r="F16" s="92" t="str">
        <f>印面价格!K20</f>
        <v>总共几张：</v>
      </c>
      <c r="G16" s="93" t="e">
        <f>印面价格!L20</f>
        <v>#DIV/0!</v>
      </c>
      <c r="H16" s="87" t="s">
        <v>88</v>
      </c>
      <c r="I16" s="87">
        <f>I14*I15</f>
        <v>8.508738</v>
      </c>
      <c r="J16" s="87"/>
      <c r="K16" s="87"/>
      <c r="L16" s="157" t="s">
        <v>155</v>
      </c>
      <c r="M16" s="91">
        <v>0.03</v>
      </c>
      <c r="N16" s="158" t="s">
        <v>96</v>
      </c>
      <c r="O16" s="159">
        <f>O11*(E6/I13)</f>
        <v>782.488</v>
      </c>
      <c r="P16" s="96"/>
      <c r="T16" s="184">
        <v>1</v>
      </c>
      <c r="U16" s="183">
        <v>300</v>
      </c>
      <c r="V16" s="183">
        <v>3000</v>
      </c>
      <c r="W16" s="183">
        <v>2</v>
      </c>
      <c r="X16" s="98">
        <f>U16*V16*W16/1000000</f>
        <v>1.8</v>
      </c>
      <c r="Y16" s="98"/>
    </row>
    <row r="17" ht="26" customHeight="1" spans="1:25">
      <c r="A17" s="96"/>
      <c r="B17" s="82" t="s">
        <v>106</v>
      </c>
      <c r="C17" s="82">
        <f>C6*3.14159*D6*I6/10000</f>
        <v>0.10362220456</v>
      </c>
      <c r="D17" s="88" t="s">
        <v>92</v>
      </c>
      <c r="E17" s="91">
        <v>0</v>
      </c>
      <c r="F17" s="97" t="s">
        <v>156</v>
      </c>
      <c r="G17" s="98" t="e">
        <f>印面价格!L21</f>
        <v>#DIV/0!</v>
      </c>
      <c r="H17" s="87" t="s">
        <v>157</v>
      </c>
      <c r="I17" s="87">
        <f>I16/I13</f>
        <v>0.35453075</v>
      </c>
      <c r="J17" s="87"/>
      <c r="K17" s="87"/>
      <c r="L17" s="157" t="s">
        <v>104</v>
      </c>
      <c r="M17" s="36">
        <v>0.03</v>
      </c>
      <c r="N17" s="161" t="s">
        <v>101</v>
      </c>
      <c r="O17" s="91">
        <v>55000</v>
      </c>
      <c r="P17" s="96"/>
      <c r="T17" s="184">
        <v>2</v>
      </c>
      <c r="U17" s="183">
        <v>60</v>
      </c>
      <c r="V17" s="183">
        <v>5400</v>
      </c>
      <c r="W17" s="183">
        <v>2</v>
      </c>
      <c r="X17" s="98">
        <f>U17*V17*W17/1000000</f>
        <v>0.648</v>
      </c>
      <c r="Y17" s="98"/>
    </row>
    <row r="18" ht="21" customHeight="1" spans="1:25">
      <c r="A18" s="96"/>
      <c r="B18" s="82"/>
      <c r="C18" s="82"/>
      <c r="D18" s="88"/>
      <c r="E18" s="88"/>
      <c r="F18" s="99" t="s">
        <v>158</v>
      </c>
      <c r="G18" s="91">
        <v>0.15</v>
      </c>
      <c r="H18" s="87"/>
      <c r="I18" s="87"/>
      <c r="J18" s="87"/>
      <c r="K18" s="87"/>
      <c r="L18" s="157" t="s">
        <v>108</v>
      </c>
      <c r="M18" s="91">
        <v>0.15</v>
      </c>
      <c r="N18" s="161" t="s">
        <v>105</v>
      </c>
      <c r="O18" s="161">
        <f>O17/E6</f>
        <v>0.55</v>
      </c>
      <c r="P18" s="96"/>
      <c r="T18" s="184">
        <v>3</v>
      </c>
      <c r="U18" s="183"/>
      <c r="V18" s="183"/>
      <c r="W18" s="183"/>
      <c r="X18" s="98">
        <f>U18*V18*W18/1000000</f>
        <v>0</v>
      </c>
      <c r="Y18" s="98"/>
    </row>
    <row r="19" ht="23" customHeight="1" spans="1:25">
      <c r="A19" s="96"/>
      <c r="B19" s="82"/>
      <c r="C19" s="82"/>
      <c r="D19" s="88"/>
      <c r="E19" s="88"/>
      <c r="F19" s="93" t="s">
        <v>159</v>
      </c>
      <c r="G19" s="93">
        <f>C12*F6</f>
        <v>0.0740158604</v>
      </c>
      <c r="H19" s="87"/>
      <c r="I19" s="87"/>
      <c r="J19" s="87"/>
      <c r="K19" s="87"/>
      <c r="L19" s="157" t="s">
        <v>160</v>
      </c>
      <c r="M19" s="91"/>
      <c r="N19" s="161"/>
      <c r="O19" s="161"/>
      <c r="P19" s="96"/>
      <c r="T19" s="184">
        <v>4</v>
      </c>
      <c r="U19" s="183"/>
      <c r="V19" s="183"/>
      <c r="W19" s="183"/>
      <c r="X19" s="98">
        <f>U19*V19*W19/1000000</f>
        <v>0</v>
      </c>
      <c r="Y19" s="98"/>
    </row>
    <row r="20" ht="26" customHeight="1" spans="1:25">
      <c r="A20" s="96"/>
      <c r="B20" s="82"/>
      <c r="C20" s="82"/>
      <c r="D20" s="88"/>
      <c r="E20" s="88"/>
      <c r="F20" s="93" t="s">
        <v>161</v>
      </c>
      <c r="G20" s="93" t="e">
        <f>IF(E6/G14&gt;=10000,0.03/G14,300/E6)</f>
        <v>#DIV/0!</v>
      </c>
      <c r="H20" s="87"/>
      <c r="I20" s="87"/>
      <c r="J20" s="87"/>
      <c r="K20" s="87"/>
      <c r="L20" s="157" t="s">
        <v>160</v>
      </c>
      <c r="M20" s="91"/>
      <c r="N20" s="161"/>
      <c r="O20" s="161"/>
      <c r="P20" s="96"/>
      <c r="T20" s="185"/>
      <c r="U20" s="185"/>
      <c r="V20" s="185"/>
      <c r="W20" s="183" t="s">
        <v>84</v>
      </c>
      <c r="X20" s="98">
        <f>X16+X17+X18+X19</f>
        <v>2.448</v>
      </c>
      <c r="Y20" s="91">
        <v>1.05</v>
      </c>
    </row>
    <row r="21" ht="24" customHeight="1" spans="1:25">
      <c r="A21" s="96"/>
      <c r="B21" s="82"/>
      <c r="C21" s="82"/>
      <c r="D21" s="88"/>
      <c r="E21" s="88"/>
      <c r="F21" s="93" t="s">
        <v>99</v>
      </c>
      <c r="G21" s="91"/>
      <c r="H21" s="87"/>
      <c r="I21" s="87"/>
      <c r="J21" s="87"/>
      <c r="K21" s="87"/>
      <c r="L21" s="157" t="s">
        <v>160</v>
      </c>
      <c r="M21" s="91"/>
      <c r="N21" s="161"/>
      <c r="O21" s="161"/>
      <c r="P21" s="96"/>
      <c r="T21" s="186" t="s">
        <v>110</v>
      </c>
      <c r="U21" s="187"/>
      <c r="V21" s="187"/>
      <c r="W21" s="187"/>
      <c r="X21" s="187"/>
      <c r="Y21" s="194"/>
    </row>
    <row r="22" ht="24" customHeight="1" spans="1:25">
      <c r="A22" s="96"/>
      <c r="B22" s="82"/>
      <c r="C22" s="82"/>
      <c r="D22" s="88"/>
      <c r="E22" s="88"/>
      <c r="F22" s="100" t="s">
        <v>162</v>
      </c>
      <c r="G22" s="91">
        <v>0.12</v>
      </c>
      <c r="H22" s="87"/>
      <c r="I22" s="87"/>
      <c r="J22" s="87"/>
      <c r="K22" s="87"/>
      <c r="L22" s="150" t="s">
        <v>163</v>
      </c>
      <c r="M22" s="157">
        <f>M11+M12+M14+M15+M16+M13+M18+M19+M20+M21</f>
        <v>0.3466</v>
      </c>
      <c r="N22" s="161"/>
      <c r="O22" s="161"/>
      <c r="P22" s="96"/>
      <c r="T22" s="184">
        <v>1</v>
      </c>
      <c r="U22" s="183">
        <v>180</v>
      </c>
      <c r="V22" s="183">
        <v>5000</v>
      </c>
      <c r="W22" s="183">
        <v>3</v>
      </c>
      <c r="X22" s="98">
        <f>U22*V22*W22/1000000</f>
        <v>2.7</v>
      </c>
      <c r="Y22" s="98"/>
    </row>
    <row r="23" ht="28" customHeight="1" spans="1:25">
      <c r="A23" s="77"/>
      <c r="B23" s="101"/>
      <c r="C23" s="102" t="s">
        <v>112</v>
      </c>
      <c r="D23" s="101"/>
      <c r="E23" s="102" t="s">
        <v>164</v>
      </c>
      <c r="F23" s="101"/>
      <c r="G23" s="102" t="s">
        <v>39</v>
      </c>
      <c r="H23" s="101"/>
      <c r="I23" s="101"/>
      <c r="J23" s="102" t="s">
        <v>165</v>
      </c>
      <c r="K23" s="101"/>
      <c r="L23" s="101"/>
      <c r="M23" s="101"/>
      <c r="N23" s="164"/>
      <c r="O23" s="164"/>
      <c r="P23" s="165" t="s">
        <v>116</v>
      </c>
      <c r="T23" s="184">
        <v>2</v>
      </c>
      <c r="U23" s="183">
        <v>80</v>
      </c>
      <c r="V23" s="183">
        <v>5000</v>
      </c>
      <c r="W23" s="183">
        <v>1</v>
      </c>
      <c r="X23" s="98">
        <f>U23*V23*W23/1000000</f>
        <v>0.4</v>
      </c>
      <c r="Y23" s="98"/>
    </row>
    <row r="24" ht="26" customHeight="1" spans="1:25">
      <c r="A24" s="77"/>
      <c r="B24" s="103" t="s">
        <v>117</v>
      </c>
      <c r="C24" s="104">
        <f>C13*C12+C17</f>
        <v>0.8141744644</v>
      </c>
      <c r="D24" s="104"/>
      <c r="E24" s="104">
        <f>E14+E13+E11+E15+E16+E17</f>
        <v>0.64</v>
      </c>
      <c r="F24" s="104"/>
      <c r="G24" s="104" t="e">
        <f>TRUNC(G18+G19+G20+G21+G22,4)</f>
        <v>#DIV/0!</v>
      </c>
      <c r="H24" s="104"/>
      <c r="I24" s="104"/>
      <c r="J24" s="104">
        <f>TRUNC(I17,4)</f>
        <v>0.3545</v>
      </c>
      <c r="K24" s="104"/>
      <c r="L24" s="104"/>
      <c r="M24" s="104">
        <f>TRUNC(M11+M12+M14+M15+M16+M13+M18,4)</f>
        <v>0.3466</v>
      </c>
      <c r="N24" s="104"/>
      <c r="O24" s="166">
        <v>0</v>
      </c>
      <c r="P24" s="167" t="e">
        <f>ROUND(C24+E24+G24+J24+M24+O24,3)</f>
        <v>#DIV/0!</v>
      </c>
      <c r="T24" s="184">
        <v>2</v>
      </c>
      <c r="U24" s="183"/>
      <c r="V24" s="183"/>
      <c r="W24" s="183"/>
      <c r="X24" s="98">
        <f>U24*V24*W24/1000000</f>
        <v>0</v>
      </c>
      <c r="Y24" s="98"/>
    </row>
    <row r="25" ht="27" customHeight="1" spans="1:25">
      <c r="A25" s="96"/>
      <c r="B25" s="73" t="s">
        <v>118</v>
      </c>
      <c r="C25" s="105">
        <v>0.5</v>
      </c>
      <c r="D25" s="104"/>
      <c r="E25" s="105">
        <v>0.64</v>
      </c>
      <c r="F25" s="104"/>
      <c r="G25" s="105">
        <v>0.42</v>
      </c>
      <c r="H25" s="104"/>
      <c r="I25" s="104"/>
      <c r="J25" s="105">
        <v>0.22</v>
      </c>
      <c r="K25" s="104"/>
      <c r="L25" s="104"/>
      <c r="M25" s="105">
        <v>0.34</v>
      </c>
      <c r="N25" s="104"/>
      <c r="O25" s="105">
        <v>0.04</v>
      </c>
      <c r="P25" s="168">
        <f>O25+M25+J25+G25+E25+C25</f>
        <v>2.16</v>
      </c>
      <c r="T25" s="184">
        <v>4</v>
      </c>
      <c r="U25" s="183"/>
      <c r="V25" s="183"/>
      <c r="W25" s="183"/>
      <c r="X25" s="98">
        <f>U25*V25*W25/1000000</f>
        <v>0</v>
      </c>
      <c r="Y25" s="98"/>
    </row>
    <row r="26" ht="27" customHeight="1" spans="1:25">
      <c r="A26" s="106"/>
      <c r="B26" s="107" t="s">
        <v>126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69"/>
      <c r="P26" s="96"/>
      <c r="T26" s="185"/>
      <c r="U26" s="185"/>
      <c r="V26" s="185"/>
      <c r="W26" s="188" t="s">
        <v>84</v>
      </c>
      <c r="X26" s="98">
        <f>X22+X23+X24+X25</f>
        <v>3.1</v>
      </c>
      <c r="Y26" s="91">
        <v>1.05</v>
      </c>
    </row>
    <row r="27" ht="22" customHeight="1"/>
    <row r="28" ht="25" customHeight="1"/>
    <row r="29" ht="28" customHeight="1" spans="1:32">
      <c r="A29" s="69"/>
      <c r="B29" s="109" t="s">
        <v>76</v>
      </c>
      <c r="C29" s="110"/>
      <c r="D29" s="109" t="s">
        <v>23</v>
      </c>
      <c r="E29" s="110"/>
      <c r="F29" s="69"/>
      <c r="G29" s="69"/>
      <c r="H29" s="69"/>
      <c r="I29" s="69"/>
      <c r="J29" s="109"/>
      <c r="K29" s="110"/>
      <c r="L29" s="109"/>
      <c r="M29" s="110"/>
      <c r="N29" s="109"/>
      <c r="O29" s="110"/>
      <c r="P29" s="69"/>
      <c r="AA29" s="195" t="s">
        <v>166</v>
      </c>
      <c r="AB29" s="54"/>
      <c r="AC29" s="54"/>
      <c r="AD29" s="54"/>
      <c r="AE29" s="54"/>
      <c r="AF29" s="54"/>
    </row>
    <row r="30" ht="25" customHeight="1" spans="1:32">
      <c r="A30" s="70"/>
      <c r="B30" s="111" t="s">
        <v>18</v>
      </c>
      <c r="C30" s="111" t="s">
        <v>19</v>
      </c>
      <c r="D30" s="71" t="s">
        <v>18</v>
      </c>
      <c r="E30" s="71" t="s">
        <v>167</v>
      </c>
      <c r="F30" s="71"/>
      <c r="G30" s="71"/>
      <c r="H30" s="70"/>
      <c r="I30" s="70"/>
      <c r="J30" s="140"/>
      <c r="K30" s="141"/>
      <c r="L30" s="111"/>
      <c r="M30" s="111"/>
      <c r="N30" s="142"/>
      <c r="O30" s="142"/>
      <c r="P30" s="70"/>
      <c r="AA30" s="98"/>
      <c r="AB30" s="98" t="s">
        <v>135</v>
      </c>
      <c r="AC30" s="196" t="s">
        <v>168</v>
      </c>
      <c r="AD30" s="98" t="s">
        <v>169</v>
      </c>
      <c r="AE30" s="98"/>
      <c r="AF30" s="98"/>
    </row>
    <row r="31" ht="27" customHeight="1" spans="1:32">
      <c r="A31" s="72"/>
      <c r="B31" s="112">
        <v>200</v>
      </c>
      <c r="C31" s="112">
        <v>5000</v>
      </c>
      <c r="D31" s="112">
        <v>450</v>
      </c>
      <c r="E31" s="112">
        <v>6000</v>
      </c>
      <c r="F31" s="112"/>
      <c r="G31" s="112"/>
      <c r="H31" s="112"/>
      <c r="I31" s="112"/>
      <c r="J31" s="143"/>
      <c r="K31" s="143"/>
      <c r="L31" s="112"/>
      <c r="M31" s="112"/>
      <c r="N31" s="144"/>
      <c r="O31" s="144"/>
      <c r="P31" s="69"/>
      <c r="AA31" s="98"/>
      <c r="AB31" s="97">
        <f>C6*10</f>
        <v>152</v>
      </c>
      <c r="AC31" s="98" t="e">
        <f>VLOOKUP(AB31,Sheet2!$B$3:$F$37,2,FALSE)</f>
        <v>#N/A</v>
      </c>
      <c r="AD31" s="98" t="e">
        <f>VLOOKUP(AB31,Sheet2!$B$3:$F$37,4,FALSE)</f>
        <v>#N/A</v>
      </c>
      <c r="AE31" s="98"/>
      <c r="AF31" s="98"/>
    </row>
    <row r="32" ht="22" customHeight="1" spans="1:35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U32" s="36" t="s">
        <v>170</v>
      </c>
      <c r="V32" s="54" t="s">
        <v>171</v>
      </c>
      <c r="W32" s="54"/>
      <c r="X32" s="54"/>
      <c r="Z32" s="54" t="s">
        <v>172</v>
      </c>
      <c r="AA32" s="54"/>
      <c r="AB32" s="54"/>
      <c r="AE32" s="56"/>
      <c r="AF32" s="36" t="s">
        <v>173</v>
      </c>
      <c r="AI32" s="36" t="s">
        <v>174</v>
      </c>
    </row>
    <row r="33" ht="23" customHeight="1" spans="1:38">
      <c r="A33" s="114" t="s">
        <v>175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32"/>
      <c r="P33" s="132"/>
      <c r="T33" s="54" t="s">
        <v>176</v>
      </c>
      <c r="U33" s="54"/>
      <c r="V33" s="189"/>
      <c r="W33" s="189"/>
      <c r="X33" s="189"/>
      <c r="Z33" s="189"/>
      <c r="AA33" s="189"/>
      <c r="AB33" s="189"/>
      <c r="AC33" s="189"/>
      <c r="AE33" s="189"/>
      <c r="AF33" s="189"/>
      <c r="AG33" s="189"/>
      <c r="AH33" s="189"/>
      <c r="AJ33" s="189"/>
      <c r="AK33" s="189"/>
      <c r="AL33" s="189"/>
    </row>
    <row r="34" ht="20" customHeight="1" spans="1:38">
      <c r="A34" s="116"/>
      <c r="B34" s="78" t="s">
        <v>37</v>
      </c>
      <c r="C34" s="78"/>
      <c r="D34" s="79" t="s">
        <v>133</v>
      </c>
      <c r="E34" s="79"/>
      <c r="F34" s="80" t="s">
        <v>39</v>
      </c>
      <c r="G34" s="80"/>
      <c r="H34" s="81" t="s">
        <v>40</v>
      </c>
      <c r="I34" s="81"/>
      <c r="J34" s="81"/>
      <c r="K34" s="81"/>
      <c r="L34" s="170" t="s">
        <v>41</v>
      </c>
      <c r="M34" s="171"/>
      <c r="N34" s="172" t="s">
        <v>42</v>
      </c>
      <c r="O34" s="151"/>
      <c r="P34" s="173"/>
      <c r="T34" s="190"/>
      <c r="U34" s="91">
        <v>94</v>
      </c>
      <c r="V34" s="69" t="str">
        <f>VLOOKUP(U34,Sheet2!$B$3:$R$37,2,FALSE)</f>
        <v>0.17元</v>
      </c>
      <c r="W34" s="69" t="s">
        <v>177</v>
      </c>
      <c r="X34" s="69" t="str">
        <f>VLOOKUP(U34,Sheet2!$B$3:$R$37,4,FALSE)</f>
        <v>0.23元</v>
      </c>
      <c r="Y34" s="69"/>
      <c r="Z34" s="69" t="s">
        <v>178</v>
      </c>
      <c r="AA34" s="69" t="str">
        <f>VLOOKUP(U34,Sheet2!$B$3:$R$37,7,FALSE)</f>
        <v>0.19元</v>
      </c>
      <c r="AB34" s="69" t="s">
        <v>179</v>
      </c>
      <c r="AC34" s="69" t="str">
        <f>VLOOKUP(U34,Sheet2!$B$3:$R$37,9,FALSE)</f>
        <v>0.25元</v>
      </c>
      <c r="AD34" s="69"/>
      <c r="AE34" s="69"/>
      <c r="AF34" s="69" t="str">
        <f>VLOOKUP(U34,Sheet2!$B$3:$R$37,12,FALSE)</f>
        <v>0.19元</v>
      </c>
      <c r="AG34" s="69"/>
      <c r="AH34" s="69" t="str">
        <f>VLOOKUP(U34,Sheet2!$B$3:$R$37,14,FALSE)</f>
        <v>0.25元</v>
      </c>
      <c r="AI34" s="69"/>
      <c r="AJ34" s="69"/>
      <c r="AK34" s="69">
        <f>VLOOKUP(U34,Sheet2!$B$3:$R$37,17,FALSE)</f>
        <v>0</v>
      </c>
      <c r="AL34" s="69"/>
    </row>
    <row r="35" ht="22" customHeight="1" spans="1:38">
      <c r="A35" s="116"/>
      <c r="B35" s="117" t="s">
        <v>44</v>
      </c>
      <c r="C35" s="117"/>
      <c r="D35" s="118" t="s">
        <v>45</v>
      </c>
      <c r="E35" s="79"/>
      <c r="F35" s="85" t="s">
        <v>180</v>
      </c>
      <c r="G35" s="86"/>
      <c r="H35" s="119"/>
      <c r="I35" s="119"/>
      <c r="J35" s="119"/>
      <c r="K35" s="119"/>
      <c r="L35" s="174" t="s">
        <v>47</v>
      </c>
      <c r="M35" s="175"/>
      <c r="N35" s="176" t="s">
        <v>48</v>
      </c>
      <c r="O35" s="156"/>
      <c r="P35" s="132"/>
      <c r="T35" s="190"/>
      <c r="U35" s="91">
        <v>145</v>
      </c>
      <c r="V35" s="69" t="str">
        <f>VLOOKUP(U35,Sheet2!$B$3:$R$37,2,FALSE)</f>
        <v>0.41元</v>
      </c>
      <c r="W35" s="69" t="s">
        <v>177</v>
      </c>
      <c r="X35" s="69">
        <f>VLOOKUP(U35,Sheet2!$B$3:$R$37,4,FALSE)</f>
        <v>0</v>
      </c>
      <c r="Y35" s="69"/>
      <c r="Z35" s="69" t="s">
        <v>178</v>
      </c>
      <c r="AA35" s="69" t="str">
        <f>VLOOKUP(U35,Sheet2!$B$3:$R$37,7,FALSE)</f>
        <v>0.45元</v>
      </c>
      <c r="AB35" s="69" t="s">
        <v>179</v>
      </c>
      <c r="AC35" s="69">
        <f>VLOOKUP(U35,Sheet2!$B$3:$R$37,9,FALSE)</f>
        <v>0</v>
      </c>
      <c r="AD35" s="69"/>
      <c r="AE35" s="69"/>
      <c r="AF35" s="69" t="str">
        <f>VLOOKUP(U35,Sheet2!$B$3:$R$37,12,FALSE)</f>
        <v>0.45元</v>
      </c>
      <c r="AG35" s="69"/>
      <c r="AH35" s="69">
        <f>VLOOKUP(U35,Sheet2!$B$3:$R$37,14,FALSE)</f>
        <v>0</v>
      </c>
      <c r="AI35" s="69"/>
      <c r="AJ35" s="69"/>
      <c r="AK35" s="69" t="str">
        <f>VLOOKUP(U35,Sheet2!$B$3:$R$37,17,FALSE)</f>
        <v>1.03元</v>
      </c>
      <c r="AL35" s="69"/>
    </row>
    <row r="36" ht="23" customHeight="1" spans="1:16">
      <c r="A36" s="116"/>
      <c r="B36" s="120" t="s">
        <v>54</v>
      </c>
      <c r="C36" s="121">
        <f>(D6+0)*C6*3.1415/10000</f>
        <v>0.14802748</v>
      </c>
      <c r="D36" s="122" t="s">
        <v>181</v>
      </c>
      <c r="E36" s="98" t="e">
        <f>AC31</f>
        <v>#N/A</v>
      </c>
      <c r="F36" s="85" t="s">
        <v>141</v>
      </c>
      <c r="G36" s="86"/>
      <c r="H36" s="87" t="s">
        <v>57</v>
      </c>
      <c r="I36" s="87">
        <f>ROUND(45/C6,0)</f>
        <v>3</v>
      </c>
      <c r="J36" s="87">
        <f>C6*I36+1.5</f>
        <v>47.1</v>
      </c>
      <c r="K36" s="87" t="s">
        <v>58</v>
      </c>
      <c r="L36" s="157" t="s">
        <v>59</v>
      </c>
      <c r="M36" s="157">
        <f>J6/K6*(D6+2)/100+J6/K6*(G6+H6)/100</f>
        <v>0.0204</v>
      </c>
      <c r="N36" s="159" t="s">
        <v>60</v>
      </c>
      <c r="O36" s="159">
        <f>J36*J37*J38/1000000</f>
        <v>0.18779712</v>
      </c>
      <c r="P36" s="132"/>
    </row>
    <row r="37" ht="20" customHeight="1" spans="1:16">
      <c r="A37" s="116"/>
      <c r="B37" s="123" t="s">
        <v>61</v>
      </c>
      <c r="C37" s="124">
        <v>4.1</v>
      </c>
      <c r="D37" s="125" t="s">
        <v>182</v>
      </c>
      <c r="E37" s="91">
        <v>0.17</v>
      </c>
      <c r="F37" s="90" t="s">
        <v>144</v>
      </c>
      <c r="G37" s="90" t="s">
        <v>145</v>
      </c>
      <c r="H37" s="87" t="s">
        <v>64</v>
      </c>
      <c r="I37" s="87">
        <f>ROUND(55/C6,0)</f>
        <v>4</v>
      </c>
      <c r="J37" s="87">
        <f>C6*I37+1.5</f>
        <v>62.3</v>
      </c>
      <c r="K37" s="87" t="s">
        <v>58</v>
      </c>
      <c r="L37" s="157" t="s">
        <v>65</v>
      </c>
      <c r="M37" s="91">
        <v>0.03</v>
      </c>
      <c r="N37" s="159" t="s">
        <v>66</v>
      </c>
      <c r="O37" s="131">
        <v>50</v>
      </c>
      <c r="P37" s="132"/>
    </row>
    <row r="38" ht="21" customHeight="1" spans="1:16">
      <c r="A38" s="116"/>
      <c r="B38" s="126" t="s">
        <v>67</v>
      </c>
      <c r="C38" s="127">
        <f>X14*Y14</f>
        <v>4.7355</v>
      </c>
      <c r="D38" s="128" t="s">
        <v>183</v>
      </c>
      <c r="E38" s="91">
        <v>0.17</v>
      </c>
      <c r="F38" s="92" t="e">
        <f>印面价格!K16</f>
        <v>#DIV/0!</v>
      </c>
      <c r="G38" s="93" t="e">
        <f>印面价格!L16</f>
        <v>#DIV/0!</v>
      </c>
      <c r="H38" s="87" t="s">
        <v>70</v>
      </c>
      <c r="I38" s="87">
        <f>ROUND(50/D6,0)</f>
        <v>2</v>
      </c>
      <c r="J38" s="87">
        <f>D6*I38+2</f>
        <v>64</v>
      </c>
      <c r="K38" s="87" t="s">
        <v>58</v>
      </c>
      <c r="L38" s="157" t="s">
        <v>148</v>
      </c>
      <c r="M38" s="91">
        <v>0.04</v>
      </c>
      <c r="N38" s="160" t="s">
        <v>71</v>
      </c>
      <c r="O38" s="159">
        <f>O36*O37</f>
        <v>9.389856</v>
      </c>
      <c r="P38" s="132"/>
    </row>
    <row r="39" ht="28" customHeight="1" spans="1:38">
      <c r="A39" s="116"/>
      <c r="B39" s="129" t="s">
        <v>72</v>
      </c>
      <c r="C39" s="130">
        <f>C37*C36</f>
        <v>0.606912668</v>
      </c>
      <c r="D39" s="128"/>
      <c r="E39" s="131"/>
      <c r="F39" s="92" t="str">
        <f>印面价格!K17</f>
        <v>拼几个：</v>
      </c>
      <c r="G39" s="90" t="e">
        <f>印面价格!L17</f>
        <v>#DIV/0!</v>
      </c>
      <c r="H39" s="87" t="s">
        <v>75</v>
      </c>
      <c r="I39" s="87">
        <f>I38*I37*I36</f>
        <v>24</v>
      </c>
      <c r="J39" s="87"/>
      <c r="K39" s="87"/>
      <c r="L39" s="157" t="s">
        <v>184</v>
      </c>
      <c r="M39" s="157">
        <f>N6/O6*2</f>
        <v>0.116666666666667</v>
      </c>
      <c r="N39" s="161" t="s">
        <v>77</v>
      </c>
      <c r="O39" s="161">
        <f>O38/I39</f>
        <v>0.391244</v>
      </c>
      <c r="P39" s="132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</row>
    <row r="40" ht="23" customHeight="1" spans="1:38">
      <c r="A40" s="116"/>
      <c r="B40" s="120" t="s">
        <v>78</v>
      </c>
      <c r="C40" s="121">
        <f>(C6-0.2)*3.14159*(G6+H6)/10000</f>
        <v>0.004712385</v>
      </c>
      <c r="D40" s="128" t="s">
        <v>79</v>
      </c>
      <c r="E40" s="131">
        <v>0</v>
      </c>
      <c r="F40" s="92" t="e">
        <f>印面价格!K18</f>
        <v>#DIV/0!</v>
      </c>
      <c r="G40" s="93" t="e">
        <f>印面价格!L18</f>
        <v>#DIV/0!</v>
      </c>
      <c r="H40" s="87" t="s">
        <v>81</v>
      </c>
      <c r="I40" s="87">
        <f>((J38+J36)*(J37+J36)*2+2)/10000</f>
        <v>2.431068</v>
      </c>
      <c r="J40" s="91">
        <v>4</v>
      </c>
      <c r="K40" s="87" t="s">
        <v>82</v>
      </c>
      <c r="L40" s="157" t="s">
        <v>185</v>
      </c>
      <c r="M40" s="91">
        <v>0.03</v>
      </c>
      <c r="N40" s="177"/>
      <c r="O40" s="177"/>
      <c r="P40" s="132"/>
      <c r="T40" s="191" t="s">
        <v>186</v>
      </c>
      <c r="U40" s="191" t="s">
        <v>170</v>
      </c>
      <c r="V40" s="192" t="s">
        <v>171</v>
      </c>
      <c r="W40" s="192"/>
      <c r="X40" s="192"/>
      <c r="Y40" s="191"/>
      <c r="Z40" s="192" t="s">
        <v>172</v>
      </c>
      <c r="AA40" s="192"/>
      <c r="AB40" s="192"/>
      <c r="AC40" s="191"/>
      <c r="AD40" s="191"/>
      <c r="AE40" s="197"/>
      <c r="AF40" s="191" t="s">
        <v>173</v>
      </c>
      <c r="AG40" s="191"/>
      <c r="AH40" s="191"/>
      <c r="AI40" s="191" t="s">
        <v>174</v>
      </c>
      <c r="AJ40" s="191"/>
      <c r="AK40" s="191"/>
      <c r="AL40" s="191"/>
    </row>
    <row r="41" ht="24" customHeight="1" spans="1:38">
      <c r="A41" s="116"/>
      <c r="B41" s="123" t="s">
        <v>85</v>
      </c>
      <c r="C41" s="124">
        <v>2.6</v>
      </c>
      <c r="D41" s="128" t="s">
        <v>86</v>
      </c>
      <c r="E41" s="131"/>
      <c r="F41" s="92" t="str">
        <f>印面价格!K20</f>
        <v>总共几张：</v>
      </c>
      <c r="G41" s="93" t="e">
        <f>印面价格!L20</f>
        <v>#DIV/0!</v>
      </c>
      <c r="H41" s="87" t="s">
        <v>88</v>
      </c>
      <c r="I41" s="87">
        <f>I40*J40</f>
        <v>9.724272</v>
      </c>
      <c r="J41" s="87"/>
      <c r="K41" s="87"/>
      <c r="L41" s="157" t="s">
        <v>187</v>
      </c>
      <c r="M41" s="157">
        <f>H6*B31/C31</f>
        <v>0.04</v>
      </c>
      <c r="N41" s="176" t="s">
        <v>90</v>
      </c>
      <c r="O41" s="156"/>
      <c r="P41" s="132"/>
      <c r="T41" s="191" t="s">
        <v>188</v>
      </c>
      <c r="U41" s="191" t="s">
        <v>189</v>
      </c>
      <c r="V41" s="193" t="s">
        <v>190</v>
      </c>
      <c r="W41" s="192"/>
      <c r="X41" s="192"/>
      <c r="Y41" s="191"/>
      <c r="Z41" s="191" t="s">
        <v>191</v>
      </c>
      <c r="AA41" s="193" t="s">
        <v>192</v>
      </c>
      <c r="AB41" s="192"/>
      <c r="AC41" s="192"/>
      <c r="AD41" s="191"/>
      <c r="AE41" s="193" t="s">
        <v>191</v>
      </c>
      <c r="AF41" s="193" t="s">
        <v>192</v>
      </c>
      <c r="AG41" s="191"/>
      <c r="AH41" s="191"/>
      <c r="AI41" s="191"/>
      <c r="AJ41" s="191"/>
      <c r="AK41" s="191"/>
      <c r="AL41" s="191"/>
    </row>
    <row r="42" ht="26" customHeight="1" spans="1:38">
      <c r="A42" s="116"/>
      <c r="B42" s="126" t="s">
        <v>67</v>
      </c>
      <c r="C42" s="127">
        <f>X20*Y20</f>
        <v>2.5704</v>
      </c>
      <c r="D42" s="128" t="s">
        <v>92</v>
      </c>
      <c r="E42" s="91"/>
      <c r="F42" s="97" t="s">
        <v>156</v>
      </c>
      <c r="G42" s="98" t="e">
        <f>印面价格!L21</f>
        <v>#DIV/0!</v>
      </c>
      <c r="H42" s="87" t="s">
        <v>94</v>
      </c>
      <c r="I42" s="87">
        <f>I41/I39</f>
        <v>0.405178</v>
      </c>
      <c r="J42" s="87"/>
      <c r="K42" s="87"/>
      <c r="L42" s="157" t="s">
        <v>193</v>
      </c>
      <c r="M42" s="157">
        <f>D31/E31</f>
        <v>0.075</v>
      </c>
      <c r="N42" s="159" t="s">
        <v>96</v>
      </c>
      <c r="O42" s="159">
        <f>O36*(E6/I39)</f>
        <v>782.488</v>
      </c>
      <c r="P42" s="132"/>
      <c r="T42" s="191" t="s">
        <v>194</v>
      </c>
      <c r="U42" s="191" t="s">
        <v>195</v>
      </c>
      <c r="V42" s="193" t="s">
        <v>192</v>
      </c>
      <c r="W42" s="191" t="s">
        <v>177</v>
      </c>
      <c r="X42" s="191" t="s">
        <v>196</v>
      </c>
      <c r="Y42" s="191"/>
      <c r="Z42" s="191" t="s">
        <v>197</v>
      </c>
      <c r="AA42" s="193" t="s">
        <v>198</v>
      </c>
      <c r="AB42" s="191" t="s">
        <v>177</v>
      </c>
      <c r="AC42" s="198" t="s">
        <v>199</v>
      </c>
      <c r="AD42" s="191"/>
      <c r="AE42" s="191" t="s">
        <v>197</v>
      </c>
      <c r="AF42" s="193" t="s">
        <v>198</v>
      </c>
      <c r="AG42" s="191" t="s">
        <v>177</v>
      </c>
      <c r="AH42" s="198" t="s">
        <v>199</v>
      </c>
      <c r="AI42" s="191"/>
      <c r="AJ42" s="191"/>
      <c r="AK42" s="191"/>
      <c r="AL42" s="191"/>
    </row>
    <row r="43" ht="28" customHeight="1" spans="1:38">
      <c r="A43" s="132"/>
      <c r="B43" s="129" t="s">
        <v>97</v>
      </c>
      <c r="C43" s="130">
        <f>C41*C40</f>
        <v>0.012252201</v>
      </c>
      <c r="D43" s="128" t="s">
        <v>98</v>
      </c>
      <c r="E43" s="91"/>
      <c r="F43" s="99" t="s">
        <v>158</v>
      </c>
      <c r="G43" s="91">
        <v>0.15</v>
      </c>
      <c r="H43" s="87"/>
      <c r="I43" s="87"/>
      <c r="J43" s="87"/>
      <c r="K43" s="87"/>
      <c r="L43" s="157" t="s">
        <v>200</v>
      </c>
      <c r="M43" s="36">
        <v>0.03</v>
      </c>
      <c r="N43" s="161" t="s">
        <v>101</v>
      </c>
      <c r="O43" s="91">
        <v>15000</v>
      </c>
      <c r="P43" s="132"/>
      <c r="T43" s="191" t="s">
        <v>201</v>
      </c>
      <c r="U43" s="191" t="s">
        <v>202</v>
      </c>
      <c r="V43" s="193" t="s">
        <v>203</v>
      </c>
      <c r="W43" s="191"/>
      <c r="X43" s="191"/>
      <c r="Y43" s="191"/>
      <c r="Z43" s="191" t="s">
        <v>204</v>
      </c>
      <c r="AA43" s="193" t="s">
        <v>205</v>
      </c>
      <c r="AB43" s="191"/>
      <c r="AC43" s="191"/>
      <c r="AD43" s="191"/>
      <c r="AE43" s="193" t="s">
        <v>204</v>
      </c>
      <c r="AF43" s="193" t="s">
        <v>205</v>
      </c>
      <c r="AG43" s="191"/>
      <c r="AH43" s="191"/>
      <c r="AI43" s="191"/>
      <c r="AJ43" s="191"/>
      <c r="AK43" s="191"/>
      <c r="AL43" s="191"/>
    </row>
    <row r="44" ht="26" customHeight="1" spans="1:38">
      <c r="A44" s="132"/>
      <c r="B44" s="133"/>
      <c r="C44" s="133"/>
      <c r="D44" s="88" t="s">
        <v>102</v>
      </c>
      <c r="E44" s="91"/>
      <c r="F44" s="93" t="s">
        <v>159</v>
      </c>
      <c r="G44" s="93">
        <f>C37*F31</f>
        <v>0</v>
      </c>
      <c r="H44" s="87"/>
      <c r="I44" s="87"/>
      <c r="J44" s="87"/>
      <c r="K44" s="87"/>
      <c r="L44" s="178" t="s">
        <v>108</v>
      </c>
      <c r="M44" s="91">
        <v>0.15</v>
      </c>
      <c r="N44" s="177" t="s">
        <v>105</v>
      </c>
      <c r="O44" s="161">
        <f>O43/E6</f>
        <v>0.15</v>
      </c>
      <c r="P44" s="132"/>
      <c r="T44" s="191"/>
      <c r="U44" s="191" t="s">
        <v>206</v>
      </c>
      <c r="V44" s="193" t="s">
        <v>207</v>
      </c>
      <c r="W44" s="191" t="s">
        <v>177</v>
      </c>
      <c r="X44" s="191" t="s">
        <v>199</v>
      </c>
      <c r="Y44" s="191"/>
      <c r="Z44" s="191" t="s">
        <v>208</v>
      </c>
      <c r="AA44" s="193" t="s">
        <v>207</v>
      </c>
      <c r="AB44" s="191" t="s">
        <v>177</v>
      </c>
      <c r="AC44" s="191" t="s">
        <v>209</v>
      </c>
      <c r="AD44" s="191"/>
      <c r="AE44" s="191" t="s">
        <v>208</v>
      </c>
      <c r="AF44" s="193" t="s">
        <v>207</v>
      </c>
      <c r="AG44" s="191" t="s">
        <v>177</v>
      </c>
      <c r="AH44" s="191" t="s">
        <v>209</v>
      </c>
      <c r="AI44" s="191"/>
      <c r="AJ44" s="191"/>
      <c r="AK44" s="191"/>
      <c r="AL44" s="191"/>
    </row>
    <row r="45" ht="33" customHeight="1" spans="1:38">
      <c r="A45" s="134"/>
      <c r="B45" s="82" t="s">
        <v>106</v>
      </c>
      <c r="C45" s="82">
        <f>C36*I6</f>
        <v>0.103619236</v>
      </c>
      <c r="D45" s="88"/>
      <c r="E45" s="88"/>
      <c r="F45" s="100" t="s">
        <v>161</v>
      </c>
      <c r="G45" s="135" t="e">
        <f>G20</f>
        <v>#DIV/0!</v>
      </c>
      <c r="H45" s="87"/>
      <c r="I45" s="87"/>
      <c r="J45" s="87"/>
      <c r="K45" s="87"/>
      <c r="L45" s="157" t="s">
        <v>160</v>
      </c>
      <c r="M45" s="91">
        <v>0</v>
      </c>
      <c r="N45" s="161"/>
      <c r="O45" s="161"/>
      <c r="P45" s="132"/>
      <c r="T45" s="191"/>
      <c r="U45" s="193" t="s">
        <v>210</v>
      </c>
      <c r="V45" s="191" t="s">
        <v>211</v>
      </c>
      <c r="W45" s="191" t="s">
        <v>177</v>
      </c>
      <c r="X45" s="191" t="s">
        <v>205</v>
      </c>
      <c r="Y45" s="191"/>
      <c r="Z45" s="193" t="s">
        <v>212</v>
      </c>
      <c r="AA45" s="191" t="s">
        <v>203</v>
      </c>
      <c r="AB45" s="191" t="s">
        <v>177</v>
      </c>
      <c r="AC45" s="191" t="s">
        <v>213</v>
      </c>
      <c r="AD45" s="191"/>
      <c r="AE45" s="191" t="s">
        <v>212</v>
      </c>
      <c r="AF45" s="191" t="s">
        <v>203</v>
      </c>
      <c r="AG45" s="191" t="s">
        <v>177</v>
      </c>
      <c r="AH45" s="191" t="s">
        <v>213</v>
      </c>
      <c r="AI45" s="191"/>
      <c r="AJ45" s="191"/>
      <c r="AK45" s="191"/>
      <c r="AL45" s="191"/>
    </row>
    <row r="46" ht="30" customHeight="1" spans="1:38">
      <c r="A46" s="132"/>
      <c r="B46" s="82"/>
      <c r="C46" s="82"/>
      <c r="D46" s="88"/>
      <c r="E46" s="88"/>
      <c r="F46" s="100" t="s">
        <v>99</v>
      </c>
      <c r="G46" s="89"/>
      <c r="H46" s="87"/>
      <c r="I46" s="87"/>
      <c r="J46" s="87"/>
      <c r="K46" s="87"/>
      <c r="L46" s="157" t="s">
        <v>160</v>
      </c>
      <c r="M46" s="91">
        <v>0</v>
      </c>
      <c r="N46" s="161"/>
      <c r="O46" s="161"/>
      <c r="P46" s="132"/>
      <c r="T46" s="191"/>
      <c r="U46" s="193" t="s">
        <v>214</v>
      </c>
      <c r="V46" s="191" t="s">
        <v>205</v>
      </c>
      <c r="W46" s="191" t="s">
        <v>177</v>
      </c>
      <c r="X46" s="191" t="s">
        <v>196</v>
      </c>
      <c r="Y46" s="193"/>
      <c r="Z46" s="193" t="s">
        <v>215</v>
      </c>
      <c r="AA46" s="191" t="s">
        <v>207</v>
      </c>
      <c r="AB46" s="191" t="s">
        <v>177</v>
      </c>
      <c r="AC46" s="191" t="s">
        <v>209</v>
      </c>
      <c r="AD46" s="193"/>
      <c r="AE46" s="191" t="s">
        <v>215</v>
      </c>
      <c r="AF46" s="191" t="s">
        <v>207</v>
      </c>
      <c r="AG46" s="191" t="s">
        <v>177</v>
      </c>
      <c r="AH46" s="191" t="s">
        <v>209</v>
      </c>
      <c r="AI46" s="191"/>
      <c r="AJ46" s="191"/>
      <c r="AK46" s="191"/>
      <c r="AL46" s="191"/>
    </row>
    <row r="47" ht="24" customHeight="1" spans="1:38">
      <c r="A47" s="132"/>
      <c r="B47" s="82"/>
      <c r="C47" s="82"/>
      <c r="D47" s="88"/>
      <c r="E47" s="88"/>
      <c r="F47" s="100" t="s">
        <v>162</v>
      </c>
      <c r="G47" s="89"/>
      <c r="H47" s="87"/>
      <c r="I47" s="87"/>
      <c r="J47" s="87"/>
      <c r="K47" s="87"/>
      <c r="L47" s="157" t="s">
        <v>160</v>
      </c>
      <c r="M47" s="91">
        <v>0</v>
      </c>
      <c r="N47" s="161"/>
      <c r="O47" s="161"/>
      <c r="P47" s="132"/>
      <c r="T47" s="191"/>
      <c r="U47" s="193" t="s">
        <v>216</v>
      </c>
      <c r="V47" s="191" t="s">
        <v>213</v>
      </c>
      <c r="W47" s="191" t="s">
        <v>177</v>
      </c>
      <c r="X47" s="191" t="s">
        <v>209</v>
      </c>
      <c r="Y47" s="191"/>
      <c r="Z47" s="193" t="s">
        <v>217</v>
      </c>
      <c r="AA47" s="191" t="s">
        <v>218</v>
      </c>
      <c r="AB47" s="191" t="s">
        <v>177</v>
      </c>
      <c r="AC47" s="191" t="s">
        <v>219</v>
      </c>
      <c r="AD47" s="191"/>
      <c r="AE47" s="191" t="s">
        <v>217</v>
      </c>
      <c r="AF47" s="191" t="s">
        <v>218</v>
      </c>
      <c r="AG47" s="191" t="s">
        <v>177</v>
      </c>
      <c r="AH47" s="191" t="s">
        <v>219</v>
      </c>
      <c r="AI47" s="191"/>
      <c r="AJ47" s="191"/>
      <c r="AK47" s="191"/>
      <c r="AL47" s="191"/>
    </row>
    <row r="48" ht="25" customHeight="1" spans="1:38">
      <c r="A48" s="132"/>
      <c r="B48" s="82"/>
      <c r="C48" s="82"/>
      <c r="D48" s="88"/>
      <c r="E48" s="88"/>
      <c r="F48" s="93" t="s">
        <v>220</v>
      </c>
      <c r="H48" s="87"/>
      <c r="I48" s="87"/>
      <c r="J48" s="87"/>
      <c r="K48" s="87"/>
      <c r="L48" s="150" t="s">
        <v>111</v>
      </c>
      <c r="M48" s="157">
        <f>M36+M37+M38+M39+M40+M41+M42+M43+M44+M45+M46+M47</f>
        <v>0.532066666666667</v>
      </c>
      <c r="N48" s="161"/>
      <c r="O48" s="161"/>
      <c r="P48" s="132"/>
      <c r="T48" s="191"/>
      <c r="U48" s="193" t="s">
        <v>221</v>
      </c>
      <c r="V48" s="191" t="s">
        <v>222</v>
      </c>
      <c r="W48" s="191" t="s">
        <v>177</v>
      </c>
      <c r="X48" s="191" t="s">
        <v>219</v>
      </c>
      <c r="Y48" s="191"/>
      <c r="Z48" s="193" t="s">
        <v>223</v>
      </c>
      <c r="AA48" s="191" t="s">
        <v>196</v>
      </c>
      <c r="AB48" s="191" t="s">
        <v>177</v>
      </c>
      <c r="AC48" s="191" t="s">
        <v>224</v>
      </c>
      <c r="AD48" s="191"/>
      <c r="AE48" s="193" t="s">
        <v>223</v>
      </c>
      <c r="AF48" s="191" t="s">
        <v>196</v>
      </c>
      <c r="AG48" s="191" t="s">
        <v>177</v>
      </c>
      <c r="AH48" s="191" t="s">
        <v>224</v>
      </c>
      <c r="AI48" s="191"/>
      <c r="AJ48" s="191"/>
      <c r="AK48" s="191"/>
      <c r="AL48" s="191"/>
    </row>
    <row r="49" ht="25.5" spans="1:38">
      <c r="A49" s="132"/>
      <c r="B49" s="136"/>
      <c r="C49" s="136" t="s">
        <v>112</v>
      </c>
      <c r="D49" s="136"/>
      <c r="E49" s="137" t="s">
        <v>113</v>
      </c>
      <c r="F49" s="136"/>
      <c r="G49" s="137" t="s">
        <v>39</v>
      </c>
      <c r="H49" s="136"/>
      <c r="I49" s="136"/>
      <c r="J49" s="137" t="s">
        <v>114</v>
      </c>
      <c r="K49" s="136"/>
      <c r="L49" s="136"/>
      <c r="M49" s="137" t="s">
        <v>115</v>
      </c>
      <c r="N49" s="136"/>
      <c r="O49" s="137" t="s">
        <v>77</v>
      </c>
      <c r="P49" s="168" t="s">
        <v>116</v>
      </c>
      <c r="T49" s="191"/>
      <c r="U49" s="193" t="s">
        <v>225</v>
      </c>
      <c r="V49" s="191" t="s">
        <v>226</v>
      </c>
      <c r="W49" s="191" t="s">
        <v>177</v>
      </c>
      <c r="X49" s="191" t="s">
        <v>219</v>
      </c>
      <c r="Y49" s="191"/>
      <c r="Z49" s="193" t="s">
        <v>227</v>
      </c>
      <c r="AA49" s="191" t="s">
        <v>199</v>
      </c>
      <c r="AB49" s="191" t="s">
        <v>177</v>
      </c>
      <c r="AC49" s="191" t="s">
        <v>224</v>
      </c>
      <c r="AD49" s="191"/>
      <c r="AE49" s="193" t="s">
        <v>227</v>
      </c>
      <c r="AF49" s="191" t="s">
        <v>199</v>
      </c>
      <c r="AG49" s="191" t="s">
        <v>177</v>
      </c>
      <c r="AH49" s="191" t="s">
        <v>224</v>
      </c>
      <c r="AI49" s="191"/>
      <c r="AJ49" s="191"/>
      <c r="AK49" s="191"/>
      <c r="AL49" s="191"/>
    </row>
    <row r="50" ht="26" customHeight="1" spans="1:38">
      <c r="A50" s="132"/>
      <c r="B50" s="103" t="s">
        <v>117</v>
      </c>
      <c r="C50" s="104">
        <f>C39+C43+C45</f>
        <v>0.722784105</v>
      </c>
      <c r="D50" s="138"/>
      <c r="E50" s="104">
        <f>E41+0+E39+E38+E40+E42+E43+E44+E37</f>
        <v>0.34</v>
      </c>
      <c r="F50" s="104"/>
      <c r="G50" s="104" t="e">
        <f>G43+G44+G45+G46+G47+G48</f>
        <v>#DIV/0!</v>
      </c>
      <c r="H50" s="104"/>
      <c r="I50" s="104"/>
      <c r="J50" s="104">
        <f>I42</f>
        <v>0.405178</v>
      </c>
      <c r="K50" s="104"/>
      <c r="L50" s="104"/>
      <c r="M50" s="104">
        <f>M48</f>
        <v>0.532066666666667</v>
      </c>
      <c r="N50" s="104"/>
      <c r="O50" s="166">
        <v>0</v>
      </c>
      <c r="P50" s="104" t="e">
        <f>ROUND(C50+E50+J50+M50+G50+O50,4)</f>
        <v>#DIV/0!</v>
      </c>
      <c r="T50" s="191"/>
      <c r="U50" s="193" t="s">
        <v>228</v>
      </c>
      <c r="V50" s="191" t="s">
        <v>226</v>
      </c>
      <c r="W50" s="191" t="s">
        <v>177</v>
      </c>
      <c r="X50" s="191" t="s">
        <v>229</v>
      </c>
      <c r="Y50" s="191"/>
      <c r="Z50" s="193" t="s">
        <v>230</v>
      </c>
      <c r="AA50" s="191" t="s">
        <v>199</v>
      </c>
      <c r="AB50" s="191" t="s">
        <v>177</v>
      </c>
      <c r="AC50" s="191" t="s">
        <v>231</v>
      </c>
      <c r="AD50" s="191"/>
      <c r="AE50" s="191" t="s">
        <v>230</v>
      </c>
      <c r="AF50" s="191" t="s">
        <v>199</v>
      </c>
      <c r="AG50" s="191" t="s">
        <v>177</v>
      </c>
      <c r="AH50" s="191" t="s">
        <v>231</v>
      </c>
      <c r="AI50" s="191"/>
      <c r="AJ50" s="191"/>
      <c r="AK50" s="191"/>
      <c r="AL50" s="191"/>
    </row>
    <row r="51" ht="22.5" spans="1:38">
      <c r="A51" s="132"/>
      <c r="B51" s="73" t="s">
        <v>118</v>
      </c>
      <c r="C51" s="105">
        <v>0.21</v>
      </c>
      <c r="D51" s="104"/>
      <c r="E51" s="105">
        <v>0.31</v>
      </c>
      <c r="F51" s="104"/>
      <c r="G51" s="105"/>
      <c r="H51" s="104"/>
      <c r="I51" s="104"/>
      <c r="J51" s="105">
        <v>0.067</v>
      </c>
      <c r="K51" s="104"/>
      <c r="L51" s="104"/>
      <c r="M51" s="105">
        <v>0.45</v>
      </c>
      <c r="N51" s="104"/>
      <c r="O51" s="105">
        <v>0.15</v>
      </c>
      <c r="P51" s="104">
        <f>O51+M51+J51+G51+E51+C51</f>
        <v>1.187</v>
      </c>
      <c r="T51" s="191"/>
      <c r="U51" s="193" t="s">
        <v>232</v>
      </c>
      <c r="V51" s="191" t="s">
        <v>226</v>
      </c>
      <c r="W51" s="191" t="s">
        <v>177</v>
      </c>
      <c r="X51" s="191" t="s">
        <v>229</v>
      </c>
      <c r="Y51" s="191"/>
      <c r="Z51" s="193" t="s">
        <v>233</v>
      </c>
      <c r="AA51" s="191" t="s">
        <v>199</v>
      </c>
      <c r="AB51" s="191" t="s">
        <v>177</v>
      </c>
      <c r="AC51" s="191" t="s">
        <v>231</v>
      </c>
      <c r="AD51" s="191"/>
      <c r="AE51" s="191" t="s">
        <v>233</v>
      </c>
      <c r="AF51" s="191" t="s">
        <v>199</v>
      </c>
      <c r="AG51" s="191" t="s">
        <v>177</v>
      </c>
      <c r="AH51" s="191" t="s">
        <v>231</v>
      </c>
      <c r="AI51" s="191"/>
      <c r="AJ51" s="191"/>
      <c r="AK51" s="191"/>
      <c r="AL51" s="191"/>
    </row>
    <row r="52" ht="25.5" spans="1:38">
      <c r="A52" s="132"/>
      <c r="B52" s="114" t="s">
        <v>126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32"/>
      <c r="T52" s="191"/>
      <c r="U52" s="193" t="s">
        <v>234</v>
      </c>
      <c r="V52" s="191" t="s">
        <v>235</v>
      </c>
      <c r="W52" s="191"/>
      <c r="X52" s="191"/>
      <c r="Y52" s="191"/>
      <c r="Z52" s="193" t="s">
        <v>236</v>
      </c>
      <c r="AA52" s="191" t="s">
        <v>209</v>
      </c>
      <c r="AB52" s="191"/>
      <c r="AC52" s="191"/>
      <c r="AD52" s="191"/>
      <c r="AE52" s="193" t="s">
        <v>236</v>
      </c>
      <c r="AF52" s="191" t="s">
        <v>209</v>
      </c>
      <c r="AG52" s="191"/>
      <c r="AH52" s="191"/>
      <c r="AI52" s="191"/>
      <c r="AJ52" s="191"/>
      <c r="AK52" s="191"/>
      <c r="AL52" s="191"/>
    </row>
    <row r="53" spans="20:38">
      <c r="T53" s="191"/>
      <c r="U53" s="193" t="s">
        <v>237</v>
      </c>
      <c r="V53" s="191" t="s">
        <v>199</v>
      </c>
      <c r="W53" s="191" t="s">
        <v>177</v>
      </c>
      <c r="X53" s="191" t="s">
        <v>238</v>
      </c>
      <c r="Y53" s="191"/>
      <c r="Z53" s="193" t="s">
        <v>239</v>
      </c>
      <c r="AA53" s="191" t="s">
        <v>209</v>
      </c>
      <c r="AB53" s="191" t="s">
        <v>177</v>
      </c>
      <c r="AC53" s="191" t="s">
        <v>240</v>
      </c>
      <c r="AD53" s="191"/>
      <c r="AE53" s="191" t="s">
        <v>239</v>
      </c>
      <c r="AF53" s="191" t="s">
        <v>209</v>
      </c>
      <c r="AG53" s="191" t="s">
        <v>177</v>
      </c>
      <c r="AH53" s="191" t="s">
        <v>240</v>
      </c>
      <c r="AI53" s="191"/>
      <c r="AJ53" s="191" t="s">
        <v>241</v>
      </c>
      <c r="AK53" s="191" t="s">
        <v>242</v>
      </c>
      <c r="AL53" s="191"/>
    </row>
    <row r="54" spans="20:38">
      <c r="T54" s="191"/>
      <c r="U54" s="193" t="s">
        <v>243</v>
      </c>
      <c r="V54" s="191" t="s">
        <v>244</v>
      </c>
      <c r="W54" s="191" t="s">
        <v>177</v>
      </c>
      <c r="X54" s="191" t="s">
        <v>240</v>
      </c>
      <c r="Y54" s="191"/>
      <c r="Z54" s="193" t="s">
        <v>245</v>
      </c>
      <c r="AA54" s="191" t="s">
        <v>219</v>
      </c>
      <c r="AB54" s="191" t="s">
        <v>177</v>
      </c>
      <c r="AC54" s="191" t="s">
        <v>246</v>
      </c>
      <c r="AD54" s="191"/>
      <c r="AE54" s="191" t="s">
        <v>245</v>
      </c>
      <c r="AF54" s="191" t="s">
        <v>219</v>
      </c>
      <c r="AG54" s="191" t="s">
        <v>177</v>
      </c>
      <c r="AH54" s="191" t="s">
        <v>246</v>
      </c>
      <c r="AI54" s="191"/>
      <c r="AJ54" s="191" t="s">
        <v>247</v>
      </c>
      <c r="AK54" s="191" t="s">
        <v>248</v>
      </c>
      <c r="AL54" s="191"/>
    </row>
    <row r="55" spans="20:38">
      <c r="T55" s="191"/>
      <c r="U55" s="193" t="s">
        <v>249</v>
      </c>
      <c r="V55" s="191" t="s">
        <v>244</v>
      </c>
      <c r="W55" s="191" t="s">
        <v>177</v>
      </c>
      <c r="X55" s="191" t="s">
        <v>240</v>
      </c>
      <c r="Y55" s="191"/>
      <c r="Z55" s="193" t="s">
        <v>250</v>
      </c>
      <c r="AA55" s="191" t="s">
        <v>219</v>
      </c>
      <c r="AB55" s="191" t="s">
        <v>177</v>
      </c>
      <c r="AC55" s="191" t="s">
        <v>246</v>
      </c>
      <c r="AD55" s="191"/>
      <c r="AE55" s="191" t="s">
        <v>250</v>
      </c>
      <c r="AF55" s="191" t="s">
        <v>219</v>
      </c>
      <c r="AG55" s="191" t="s">
        <v>177</v>
      </c>
      <c r="AH55" s="191" t="s">
        <v>246</v>
      </c>
      <c r="AI55" s="191"/>
      <c r="AJ55" s="191" t="s">
        <v>251</v>
      </c>
      <c r="AK55" s="191" t="s">
        <v>252</v>
      </c>
      <c r="AL55" s="191"/>
    </row>
    <row r="56" spans="20:38">
      <c r="T56" s="191"/>
      <c r="U56" s="193" t="s">
        <v>253</v>
      </c>
      <c r="V56" s="191" t="s">
        <v>224</v>
      </c>
      <c r="W56" s="191" t="s">
        <v>177</v>
      </c>
      <c r="X56" s="191" t="s">
        <v>246</v>
      </c>
      <c r="Y56" s="191"/>
      <c r="Z56" s="193" t="s">
        <v>254</v>
      </c>
      <c r="AA56" s="191" t="s">
        <v>224</v>
      </c>
      <c r="AB56" s="191" t="s">
        <v>177</v>
      </c>
      <c r="AC56" s="191" t="s">
        <v>255</v>
      </c>
      <c r="AD56" s="191"/>
      <c r="AE56" s="191" t="s">
        <v>254</v>
      </c>
      <c r="AF56" s="191" t="s">
        <v>224</v>
      </c>
      <c r="AG56" s="191" t="s">
        <v>177</v>
      </c>
      <c r="AH56" s="191" t="s">
        <v>255</v>
      </c>
      <c r="AI56" s="191"/>
      <c r="AJ56" s="191"/>
      <c r="AK56" s="191"/>
      <c r="AL56" s="191"/>
    </row>
    <row r="57" spans="20:38">
      <c r="T57" s="191"/>
      <c r="U57" s="193" t="s">
        <v>256</v>
      </c>
      <c r="V57" s="191" t="s">
        <v>224</v>
      </c>
      <c r="W57" s="191"/>
      <c r="X57" s="191"/>
      <c r="Y57" s="191"/>
      <c r="Z57" s="193" t="s">
        <v>257</v>
      </c>
      <c r="AA57" s="191" t="s">
        <v>224</v>
      </c>
      <c r="AB57" s="191"/>
      <c r="AC57" s="191"/>
      <c r="AD57" s="191"/>
      <c r="AE57" s="191" t="s">
        <v>257</v>
      </c>
      <c r="AF57" s="191" t="s">
        <v>224</v>
      </c>
      <c r="AG57" s="191"/>
      <c r="AH57" s="191"/>
      <c r="AI57" s="191"/>
      <c r="AJ57" s="191"/>
      <c r="AK57" s="191"/>
      <c r="AL57" s="191"/>
    </row>
    <row r="58" spans="20:38">
      <c r="T58" s="191"/>
      <c r="U58" s="193" t="s">
        <v>258</v>
      </c>
      <c r="V58" s="191" t="s">
        <v>219</v>
      </c>
      <c r="W58" s="191" t="s">
        <v>177</v>
      </c>
      <c r="X58" s="191" t="s">
        <v>240</v>
      </c>
      <c r="Y58" s="191"/>
      <c r="Z58" s="193" t="s">
        <v>259</v>
      </c>
      <c r="AA58" s="191" t="s">
        <v>229</v>
      </c>
      <c r="AB58" s="191" t="s">
        <v>177</v>
      </c>
      <c r="AC58" s="191" t="s">
        <v>255</v>
      </c>
      <c r="AD58" s="191"/>
      <c r="AE58" s="191" t="s">
        <v>259</v>
      </c>
      <c r="AF58" s="191" t="s">
        <v>229</v>
      </c>
      <c r="AG58" s="191" t="s">
        <v>177</v>
      </c>
      <c r="AH58" s="191" t="s">
        <v>255</v>
      </c>
      <c r="AI58" s="191"/>
      <c r="AJ58" s="193" t="s">
        <v>260</v>
      </c>
      <c r="AK58" s="191" t="s">
        <v>261</v>
      </c>
      <c r="AL58" s="191"/>
    </row>
    <row r="59" spans="20:38">
      <c r="T59" s="191"/>
      <c r="U59" s="193" t="s">
        <v>262</v>
      </c>
      <c r="V59" s="191"/>
      <c r="W59" s="191" t="s">
        <v>177</v>
      </c>
      <c r="X59" s="191" t="s">
        <v>263</v>
      </c>
      <c r="Y59" s="191"/>
      <c r="Z59" s="193" t="s">
        <v>264</v>
      </c>
      <c r="AA59" s="191"/>
      <c r="AB59" s="191" t="s">
        <v>177</v>
      </c>
      <c r="AC59" s="191" t="s">
        <v>265</v>
      </c>
      <c r="AD59" s="191"/>
      <c r="AE59" s="191" t="s">
        <v>264</v>
      </c>
      <c r="AF59" s="191"/>
      <c r="AG59" s="191" t="s">
        <v>177</v>
      </c>
      <c r="AH59" s="191" t="s">
        <v>265</v>
      </c>
      <c r="AI59" s="191"/>
      <c r="AJ59" s="191"/>
      <c r="AK59" s="191"/>
      <c r="AL59" s="191"/>
    </row>
    <row r="60" spans="20:38">
      <c r="T60" s="191"/>
      <c r="U60" s="193" t="s">
        <v>266</v>
      </c>
      <c r="V60" s="191" t="s">
        <v>229</v>
      </c>
      <c r="W60" s="191" t="s">
        <v>177</v>
      </c>
      <c r="X60" s="191" t="s">
        <v>263</v>
      </c>
      <c r="Y60" s="191"/>
      <c r="Z60" s="193" t="s">
        <v>267</v>
      </c>
      <c r="AA60" s="191" t="s">
        <v>238</v>
      </c>
      <c r="AB60" s="191" t="s">
        <v>177</v>
      </c>
      <c r="AC60" s="191" t="s">
        <v>265</v>
      </c>
      <c r="AD60" s="191"/>
      <c r="AE60" s="191" t="s">
        <v>267</v>
      </c>
      <c r="AF60" s="191" t="s">
        <v>238</v>
      </c>
      <c r="AG60" s="191" t="s">
        <v>177</v>
      </c>
      <c r="AH60" s="191" t="s">
        <v>265</v>
      </c>
      <c r="AI60" s="191"/>
      <c r="AJ60" s="193" t="s">
        <v>268</v>
      </c>
      <c r="AK60" s="191" t="s">
        <v>269</v>
      </c>
      <c r="AL60" s="191"/>
    </row>
    <row r="61" spans="20:38">
      <c r="T61" s="191"/>
      <c r="U61" s="193" t="s">
        <v>270</v>
      </c>
      <c r="V61" s="191" t="s">
        <v>231</v>
      </c>
      <c r="W61" s="191" t="s">
        <v>177</v>
      </c>
      <c r="X61" s="191" t="s">
        <v>271</v>
      </c>
      <c r="Y61" s="191"/>
      <c r="Z61" s="193" t="s">
        <v>272</v>
      </c>
      <c r="AA61" s="191" t="s">
        <v>240</v>
      </c>
      <c r="AB61" s="191" t="s">
        <v>177</v>
      </c>
      <c r="AC61" s="191" t="s">
        <v>273</v>
      </c>
      <c r="AD61" s="191"/>
      <c r="AE61" s="193" t="s">
        <v>272</v>
      </c>
      <c r="AF61" s="191" t="s">
        <v>240</v>
      </c>
      <c r="AG61" s="191" t="s">
        <v>177</v>
      </c>
      <c r="AH61" s="191" t="s">
        <v>273</v>
      </c>
      <c r="AI61" s="191"/>
      <c r="AJ61" s="191"/>
      <c r="AK61" s="191"/>
      <c r="AL61" s="191"/>
    </row>
    <row r="62" spans="20:38">
      <c r="T62" s="191"/>
      <c r="U62" s="193" t="s">
        <v>274</v>
      </c>
      <c r="V62" s="191" t="s">
        <v>238</v>
      </c>
      <c r="W62" s="191" t="s">
        <v>177</v>
      </c>
      <c r="X62" s="191" t="s">
        <v>265</v>
      </c>
      <c r="Y62" s="191"/>
      <c r="Z62" s="193" t="s">
        <v>275</v>
      </c>
      <c r="AA62" s="191" t="s">
        <v>246</v>
      </c>
      <c r="AB62" s="191" t="s">
        <v>177</v>
      </c>
      <c r="AC62" s="191" t="s">
        <v>276</v>
      </c>
      <c r="AD62" s="191"/>
      <c r="AE62" s="191" t="s">
        <v>275</v>
      </c>
      <c r="AF62" s="191" t="s">
        <v>246</v>
      </c>
      <c r="AG62" s="191" t="s">
        <v>177</v>
      </c>
      <c r="AH62" s="191" t="s">
        <v>276</v>
      </c>
      <c r="AI62" s="191"/>
      <c r="AJ62" s="191"/>
      <c r="AK62" s="191"/>
      <c r="AL62" s="191"/>
    </row>
    <row r="63" spans="20:38">
      <c r="T63" s="191"/>
      <c r="U63" s="193" t="s">
        <v>277</v>
      </c>
      <c r="V63" s="191" t="s">
        <v>238</v>
      </c>
      <c r="W63" s="191" t="s">
        <v>177</v>
      </c>
      <c r="X63" s="191" t="s">
        <v>273</v>
      </c>
      <c r="Y63" s="191"/>
      <c r="Z63" s="193" t="s">
        <v>278</v>
      </c>
      <c r="AA63" s="191" t="s">
        <v>246</v>
      </c>
      <c r="AB63" s="191" t="s">
        <v>177</v>
      </c>
      <c r="AC63" s="191" t="s">
        <v>279</v>
      </c>
      <c r="AD63" s="191"/>
      <c r="AE63" s="191" t="s">
        <v>278</v>
      </c>
      <c r="AF63" s="191" t="s">
        <v>246</v>
      </c>
      <c r="AG63" s="191" t="s">
        <v>177</v>
      </c>
      <c r="AH63" s="191" t="s">
        <v>279</v>
      </c>
      <c r="AI63" s="191"/>
      <c r="AJ63" s="193" t="s">
        <v>280</v>
      </c>
      <c r="AK63" s="191" t="s">
        <v>281</v>
      </c>
      <c r="AL63" s="191"/>
    </row>
    <row r="64" spans="20:38">
      <c r="T64" s="191"/>
      <c r="U64" s="193" t="s">
        <v>282</v>
      </c>
      <c r="V64" s="191" t="s">
        <v>283</v>
      </c>
      <c r="W64" s="191" t="s">
        <v>177</v>
      </c>
      <c r="X64" s="191" t="s">
        <v>284</v>
      </c>
      <c r="Y64" s="191"/>
      <c r="Z64" s="193" t="s">
        <v>285</v>
      </c>
      <c r="AA64" s="191" t="s">
        <v>265</v>
      </c>
      <c r="AB64" s="191" t="s">
        <v>177</v>
      </c>
      <c r="AC64" s="191" t="s">
        <v>286</v>
      </c>
      <c r="AD64" s="191"/>
      <c r="AE64" s="193" t="s">
        <v>285</v>
      </c>
      <c r="AF64" s="191" t="s">
        <v>265</v>
      </c>
      <c r="AG64" s="191" t="s">
        <v>177</v>
      </c>
      <c r="AH64" s="191" t="s">
        <v>286</v>
      </c>
      <c r="AI64" s="191"/>
      <c r="AJ64" s="191"/>
      <c r="AK64" s="191"/>
      <c r="AL64" s="191"/>
    </row>
    <row r="65" spans="20:38">
      <c r="T65" s="191"/>
      <c r="U65" s="193" t="s">
        <v>287</v>
      </c>
      <c r="V65" s="191" t="s">
        <v>288</v>
      </c>
      <c r="W65" s="191" t="s">
        <v>177</v>
      </c>
      <c r="X65" s="191" t="s">
        <v>289</v>
      </c>
      <c r="Y65" s="191"/>
      <c r="Z65" s="193" t="s">
        <v>290</v>
      </c>
      <c r="AA65" s="191" t="s">
        <v>276</v>
      </c>
      <c r="AB65" s="191" t="s">
        <v>177</v>
      </c>
      <c r="AC65" s="191" t="s">
        <v>291</v>
      </c>
      <c r="AD65" s="191"/>
      <c r="AE65" s="191" t="s">
        <v>290</v>
      </c>
      <c r="AF65" s="191" t="s">
        <v>276</v>
      </c>
      <c r="AG65" s="191" t="s">
        <v>177</v>
      </c>
      <c r="AH65" s="191" t="s">
        <v>291</v>
      </c>
      <c r="AI65" s="191"/>
      <c r="AJ65" s="193" t="s">
        <v>292</v>
      </c>
      <c r="AK65" s="191" t="s">
        <v>293</v>
      </c>
      <c r="AL65" s="191"/>
    </row>
    <row r="66" spans="20:38">
      <c r="T66" s="191"/>
      <c r="U66" s="193" t="s">
        <v>294</v>
      </c>
      <c r="V66" s="191" t="s">
        <v>295</v>
      </c>
      <c r="W66" s="191" t="s">
        <v>177</v>
      </c>
      <c r="X66" s="191" t="s">
        <v>296</v>
      </c>
      <c r="Y66" s="191"/>
      <c r="Z66" s="193" t="s">
        <v>297</v>
      </c>
      <c r="AA66" s="191" t="s">
        <v>279</v>
      </c>
      <c r="AB66" s="191" t="s">
        <v>177</v>
      </c>
      <c r="AC66" s="191" t="s">
        <v>298</v>
      </c>
      <c r="AD66" s="191"/>
      <c r="AE66" s="191" t="s">
        <v>297</v>
      </c>
      <c r="AF66" s="191" t="s">
        <v>279</v>
      </c>
      <c r="AG66" s="191" t="s">
        <v>177</v>
      </c>
      <c r="AH66" s="191" t="s">
        <v>298</v>
      </c>
      <c r="AI66" s="191"/>
      <c r="AJ66" s="193" t="s">
        <v>299</v>
      </c>
      <c r="AK66" s="191" t="s">
        <v>300</v>
      </c>
      <c r="AL66" s="191"/>
    </row>
    <row r="67" spans="20:38">
      <c r="T67" s="191"/>
      <c r="U67" s="193" t="s">
        <v>301</v>
      </c>
      <c r="V67" s="191" t="s">
        <v>284</v>
      </c>
      <c r="W67" s="191" t="s">
        <v>177</v>
      </c>
      <c r="X67" s="191" t="s">
        <v>302</v>
      </c>
      <c r="Y67" s="191"/>
      <c r="Z67" s="193" t="s">
        <v>303</v>
      </c>
      <c r="AA67" s="191" t="s">
        <v>304</v>
      </c>
      <c r="AB67" s="191" t="s">
        <v>177</v>
      </c>
      <c r="AC67" s="191" t="s">
        <v>305</v>
      </c>
      <c r="AD67" s="191"/>
      <c r="AE67" s="191" t="s">
        <v>303</v>
      </c>
      <c r="AF67" s="191" t="s">
        <v>304</v>
      </c>
      <c r="AG67" s="191" t="s">
        <v>177</v>
      </c>
      <c r="AH67" s="191" t="s">
        <v>305</v>
      </c>
      <c r="AI67" s="191"/>
      <c r="AJ67" s="193" t="s">
        <v>306</v>
      </c>
      <c r="AK67" s="191" t="s">
        <v>307</v>
      </c>
      <c r="AL67" s="191"/>
    </row>
    <row r="68" spans="20:38">
      <c r="T68" s="191"/>
      <c r="U68" s="193" t="s">
        <v>308</v>
      </c>
      <c r="V68" s="191" t="s">
        <v>289</v>
      </c>
      <c r="W68" s="191" t="s">
        <v>177</v>
      </c>
      <c r="X68" s="191" t="s">
        <v>309</v>
      </c>
      <c r="Y68" s="191"/>
      <c r="Z68" s="193" t="s">
        <v>310</v>
      </c>
      <c r="AA68" s="191" t="s">
        <v>289</v>
      </c>
      <c r="AB68" s="191" t="s">
        <v>177</v>
      </c>
      <c r="AC68" s="191" t="s">
        <v>311</v>
      </c>
      <c r="AD68" s="191"/>
      <c r="AE68" s="191" t="s">
        <v>310</v>
      </c>
      <c r="AF68" s="191" t="s">
        <v>289</v>
      </c>
      <c r="AG68" s="191" t="s">
        <v>177</v>
      </c>
      <c r="AH68" s="191" t="s">
        <v>311</v>
      </c>
      <c r="AI68" s="191"/>
      <c r="AJ68" s="191"/>
      <c r="AK68" s="191"/>
      <c r="AL68" s="191"/>
    </row>
    <row r="69" spans="20:38">
      <c r="T69" s="191"/>
      <c r="U69" s="193" t="s">
        <v>312</v>
      </c>
      <c r="V69" s="191" t="s">
        <v>242</v>
      </c>
      <c r="W69" s="191"/>
      <c r="X69" s="191"/>
      <c r="Y69" s="191"/>
      <c r="Z69" s="193" t="s">
        <v>313</v>
      </c>
      <c r="AA69" s="191" t="s">
        <v>242</v>
      </c>
      <c r="AB69" s="191"/>
      <c r="AC69" s="191"/>
      <c r="AD69" s="191"/>
      <c r="AE69" s="191" t="s">
        <v>313</v>
      </c>
      <c r="AF69" s="191" t="s">
        <v>242</v>
      </c>
      <c r="AG69" s="191"/>
      <c r="AH69" s="191"/>
      <c r="AI69" s="191"/>
      <c r="AJ69" s="193" t="s">
        <v>314</v>
      </c>
      <c r="AK69" s="191" t="s">
        <v>315</v>
      </c>
      <c r="AL69" s="191"/>
    </row>
    <row r="70" spans="20:38">
      <c r="T70" s="191"/>
      <c r="U70" s="193" t="s">
        <v>316</v>
      </c>
      <c r="V70" s="191" t="s">
        <v>317</v>
      </c>
      <c r="W70" s="191"/>
      <c r="X70" s="191"/>
      <c r="Y70" s="191"/>
      <c r="Z70" s="193" t="s">
        <v>318</v>
      </c>
      <c r="AA70" s="191" t="s">
        <v>261</v>
      </c>
      <c r="AB70" s="191"/>
      <c r="AC70" s="191"/>
      <c r="AD70" s="191"/>
      <c r="AE70" s="191" t="s">
        <v>318</v>
      </c>
      <c r="AF70" s="191" t="s">
        <v>261</v>
      </c>
      <c r="AG70" s="191"/>
      <c r="AH70" s="191"/>
      <c r="AI70" s="191"/>
      <c r="AJ70" s="193" t="s">
        <v>319</v>
      </c>
      <c r="AK70" s="191" t="s">
        <v>320</v>
      </c>
      <c r="AL70" s="191"/>
    </row>
    <row r="71" spans="20:38">
      <c r="T71" s="191"/>
      <c r="U71" s="193" t="s">
        <v>321</v>
      </c>
      <c r="V71" s="191" t="s">
        <v>269</v>
      </c>
      <c r="W71" s="191" t="s">
        <v>177</v>
      </c>
      <c r="X71" s="191" t="s">
        <v>281</v>
      </c>
      <c r="Y71" s="191"/>
      <c r="Z71" s="193" t="s">
        <v>322</v>
      </c>
      <c r="AA71" s="191" t="s">
        <v>323</v>
      </c>
      <c r="AB71" s="191" t="s">
        <v>177</v>
      </c>
      <c r="AC71" s="191" t="s">
        <v>324</v>
      </c>
      <c r="AD71" s="191"/>
      <c r="AE71" s="191" t="s">
        <v>322</v>
      </c>
      <c r="AF71" s="191" t="s">
        <v>323</v>
      </c>
      <c r="AG71" s="191" t="s">
        <v>177</v>
      </c>
      <c r="AH71" s="191" t="s">
        <v>324</v>
      </c>
      <c r="AI71" s="191"/>
      <c r="AJ71" s="193" t="s">
        <v>325</v>
      </c>
      <c r="AK71" s="191" t="s">
        <v>326</v>
      </c>
      <c r="AL71" s="191"/>
    </row>
    <row r="72" spans="20:38">
      <c r="T72" s="191"/>
      <c r="U72" s="193" t="s">
        <v>327</v>
      </c>
      <c r="V72" s="191" t="s">
        <v>328</v>
      </c>
      <c r="W72" s="191"/>
      <c r="X72" s="191"/>
      <c r="Y72" s="191"/>
      <c r="Z72" s="193" t="s">
        <v>329</v>
      </c>
      <c r="AA72" s="191" t="s">
        <v>330</v>
      </c>
      <c r="AB72" s="191"/>
      <c r="AC72" s="191"/>
      <c r="AD72" s="191"/>
      <c r="AE72" s="193" t="s">
        <v>329</v>
      </c>
      <c r="AF72" s="191" t="s">
        <v>330</v>
      </c>
      <c r="AG72" s="191"/>
      <c r="AH72" s="191"/>
      <c r="AI72" s="191"/>
      <c r="AJ72" s="191"/>
      <c r="AK72" s="191"/>
      <c r="AL72" s="191"/>
    </row>
    <row r="73" spans="20:38">
      <c r="T73" s="191"/>
      <c r="U73" s="193" t="s">
        <v>331</v>
      </c>
      <c r="V73" s="191" t="s">
        <v>315</v>
      </c>
      <c r="W73" s="191"/>
      <c r="X73" s="191"/>
      <c r="Y73" s="191"/>
      <c r="Z73" s="193" t="s">
        <v>332</v>
      </c>
      <c r="AA73" s="191" t="s">
        <v>333</v>
      </c>
      <c r="AB73" s="191"/>
      <c r="AC73" s="191"/>
      <c r="AD73" s="191"/>
      <c r="AE73" s="191" t="s">
        <v>332</v>
      </c>
      <c r="AF73" s="191" t="s">
        <v>333</v>
      </c>
      <c r="AG73" s="191"/>
      <c r="AH73" s="191"/>
      <c r="AI73" s="191"/>
      <c r="AJ73" s="193" t="s">
        <v>334</v>
      </c>
      <c r="AK73" s="191" t="s">
        <v>335</v>
      </c>
      <c r="AL73" s="191"/>
    </row>
    <row r="74" spans="20:38">
      <c r="T74" s="191"/>
      <c r="U74" s="193" t="s">
        <v>336</v>
      </c>
      <c r="V74" s="191" t="s">
        <v>337</v>
      </c>
      <c r="W74" s="191"/>
      <c r="X74" s="191"/>
      <c r="Y74" s="191"/>
      <c r="Z74" s="193" t="s">
        <v>338</v>
      </c>
      <c r="AA74" s="191" t="s">
        <v>339</v>
      </c>
      <c r="AB74" s="191"/>
      <c r="AC74" s="191"/>
      <c r="AD74" s="191"/>
      <c r="AE74" s="191" t="s">
        <v>338</v>
      </c>
      <c r="AF74" s="191" t="s">
        <v>339</v>
      </c>
      <c r="AG74" s="191"/>
      <c r="AH74" s="191"/>
      <c r="AI74" s="191"/>
      <c r="AJ74" s="193" t="s">
        <v>340</v>
      </c>
      <c r="AK74" s="191" t="s">
        <v>341</v>
      </c>
      <c r="AL74" s="191"/>
    </row>
    <row r="75" spans="20:38"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</row>
  </sheetData>
  <mergeCells count="49">
    <mergeCell ref="A2:P2"/>
    <mergeCell ref="A3:P3"/>
    <mergeCell ref="Q3:S3"/>
    <mergeCell ref="J4:K4"/>
    <mergeCell ref="L4:M4"/>
    <mergeCell ref="N4:O4"/>
    <mergeCell ref="J7:K7"/>
    <mergeCell ref="A8:O8"/>
    <mergeCell ref="T8:Y8"/>
    <mergeCell ref="B9:C9"/>
    <mergeCell ref="D9:E9"/>
    <mergeCell ref="F9:G9"/>
    <mergeCell ref="L9:M9"/>
    <mergeCell ref="N9:O9"/>
    <mergeCell ref="F10:G10"/>
    <mergeCell ref="L10:M10"/>
    <mergeCell ref="N10:O10"/>
    <mergeCell ref="F11:G11"/>
    <mergeCell ref="N15:O15"/>
    <mergeCell ref="T15:Y15"/>
    <mergeCell ref="T21:Y21"/>
    <mergeCell ref="B26:O26"/>
    <mergeCell ref="B29:C29"/>
    <mergeCell ref="D29:E29"/>
    <mergeCell ref="J29:K29"/>
    <mergeCell ref="L29:M29"/>
    <mergeCell ref="N29:O29"/>
    <mergeCell ref="AA29:AF29"/>
    <mergeCell ref="V32:X32"/>
    <mergeCell ref="Z32:AB32"/>
    <mergeCell ref="A33:N33"/>
    <mergeCell ref="T33:U33"/>
    <mergeCell ref="B34:C34"/>
    <mergeCell ref="D34:E34"/>
    <mergeCell ref="F34:G34"/>
    <mergeCell ref="L34:M34"/>
    <mergeCell ref="N34:O34"/>
    <mergeCell ref="B35:C35"/>
    <mergeCell ref="D35:E35"/>
    <mergeCell ref="F35:G35"/>
    <mergeCell ref="H35:K35"/>
    <mergeCell ref="L35:M35"/>
    <mergeCell ref="N35:O35"/>
    <mergeCell ref="F36:G36"/>
    <mergeCell ref="V40:X40"/>
    <mergeCell ref="Z40:AB40"/>
    <mergeCell ref="N41:O41"/>
    <mergeCell ref="B52:O52"/>
    <mergeCell ref="P8:P15"/>
  </mergeCells>
  <dataValidations count="1">
    <dataValidation type="list" allowBlank="1" showInputMessage="1" showErrorMessage="1" sqref="B6 U34:U35">
      <formula1>Sheet2!$B$4:$B$37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workbookViewId="0">
      <selection activeCell="J30" sqref="J30"/>
    </sheetView>
  </sheetViews>
  <sheetFormatPr defaultColWidth="9" defaultRowHeight="13.5"/>
  <cols>
    <col min="1" max="16384" width="9" style="29"/>
  </cols>
  <sheetData>
    <row r="1" spans="1:19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36"/>
    </row>
    <row r="2" spans="1:2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63"/>
      <c r="U2" s="63"/>
      <c r="V2" s="63"/>
    </row>
    <row r="3" spans="1:19">
      <c r="A3" s="36" t="s">
        <v>186</v>
      </c>
      <c r="B3" s="36" t="s">
        <v>170</v>
      </c>
      <c r="C3" s="54" t="s">
        <v>171</v>
      </c>
      <c r="D3" s="54"/>
      <c r="E3" s="54"/>
      <c r="F3" s="36"/>
      <c r="G3" s="54" t="s">
        <v>172</v>
      </c>
      <c r="H3" s="54"/>
      <c r="I3" s="54"/>
      <c r="J3" s="36"/>
      <c r="K3" s="36"/>
      <c r="L3" s="56"/>
      <c r="M3" s="36" t="s">
        <v>173</v>
      </c>
      <c r="N3" s="36"/>
      <c r="O3" s="36"/>
      <c r="P3" s="36" t="s">
        <v>174</v>
      </c>
      <c r="Q3" s="36"/>
      <c r="R3" s="36"/>
      <c r="S3" s="36"/>
    </row>
    <row r="4" spans="1:19">
      <c r="A4" s="36" t="s">
        <v>188</v>
      </c>
      <c r="B4" s="36">
        <v>33</v>
      </c>
      <c r="C4" s="55" t="s">
        <v>190</v>
      </c>
      <c r="D4" s="54"/>
      <c r="E4" s="54"/>
      <c r="F4" s="36"/>
      <c r="G4" s="36" t="s">
        <v>191</v>
      </c>
      <c r="H4" s="55" t="s">
        <v>192</v>
      </c>
      <c r="I4" s="54"/>
      <c r="J4" s="54"/>
      <c r="K4" s="36"/>
      <c r="L4" s="55" t="s">
        <v>191</v>
      </c>
      <c r="M4" s="55" t="s">
        <v>192</v>
      </c>
      <c r="N4" s="36"/>
      <c r="O4" s="36"/>
      <c r="P4" s="36"/>
      <c r="Q4" s="36"/>
      <c r="R4" s="36"/>
      <c r="S4" s="36"/>
    </row>
    <row r="5" spans="1:19">
      <c r="A5" s="36" t="s">
        <v>194</v>
      </c>
      <c r="B5" s="36">
        <v>40</v>
      </c>
      <c r="C5" s="55" t="s">
        <v>192</v>
      </c>
      <c r="D5" s="36" t="s">
        <v>177</v>
      </c>
      <c r="E5" s="36" t="s">
        <v>196</v>
      </c>
      <c r="F5" s="36"/>
      <c r="G5" s="36" t="s">
        <v>197</v>
      </c>
      <c r="H5" s="55" t="s">
        <v>198</v>
      </c>
      <c r="I5" s="36" t="s">
        <v>177</v>
      </c>
      <c r="J5" s="62" t="s">
        <v>199</v>
      </c>
      <c r="K5" s="36"/>
      <c r="L5" s="36" t="s">
        <v>197</v>
      </c>
      <c r="M5" s="55" t="s">
        <v>198</v>
      </c>
      <c r="N5" s="36" t="s">
        <v>177</v>
      </c>
      <c r="O5" s="62" t="s">
        <v>199</v>
      </c>
      <c r="P5" s="36"/>
      <c r="Q5" s="36"/>
      <c r="R5" s="36"/>
      <c r="S5" s="36"/>
    </row>
    <row r="6" spans="1:19">
      <c r="A6" s="36" t="s">
        <v>201</v>
      </c>
      <c r="B6" s="36">
        <v>43</v>
      </c>
      <c r="C6" s="55" t="s">
        <v>203</v>
      </c>
      <c r="D6" s="36"/>
      <c r="E6" s="36"/>
      <c r="F6" s="36"/>
      <c r="G6" s="36" t="s">
        <v>204</v>
      </c>
      <c r="H6" s="55" t="s">
        <v>205</v>
      </c>
      <c r="I6" s="36"/>
      <c r="J6" s="36"/>
      <c r="K6" s="36"/>
      <c r="L6" s="55" t="s">
        <v>204</v>
      </c>
      <c r="M6" s="55" t="s">
        <v>205</v>
      </c>
      <c r="N6" s="36"/>
      <c r="O6" s="36"/>
      <c r="P6" s="36"/>
      <c r="Q6" s="36"/>
      <c r="R6" s="36"/>
      <c r="S6" s="36"/>
    </row>
    <row r="7" spans="1:19">
      <c r="A7" s="36"/>
      <c r="B7" s="36">
        <v>45</v>
      </c>
      <c r="C7" s="55" t="s">
        <v>207</v>
      </c>
      <c r="D7" s="36" t="s">
        <v>177</v>
      </c>
      <c r="E7" s="36" t="s">
        <v>199</v>
      </c>
      <c r="F7" s="36"/>
      <c r="G7" s="36" t="s">
        <v>208</v>
      </c>
      <c r="H7" s="55" t="s">
        <v>207</v>
      </c>
      <c r="I7" s="36" t="s">
        <v>177</v>
      </c>
      <c r="J7" s="36" t="s">
        <v>209</v>
      </c>
      <c r="K7" s="36"/>
      <c r="L7" s="36" t="s">
        <v>208</v>
      </c>
      <c r="M7" s="55" t="s">
        <v>207</v>
      </c>
      <c r="N7" s="36" t="s">
        <v>177</v>
      </c>
      <c r="O7" s="36" t="s">
        <v>209</v>
      </c>
      <c r="P7" s="36"/>
      <c r="Q7" s="36"/>
      <c r="R7" s="36"/>
      <c r="S7" s="36"/>
    </row>
    <row r="8" spans="1:19">
      <c r="A8" s="36"/>
      <c r="B8" s="56">
        <v>46</v>
      </c>
      <c r="C8" s="36" t="s">
        <v>211</v>
      </c>
      <c r="D8" s="36" t="s">
        <v>177</v>
      </c>
      <c r="E8" s="36" t="s">
        <v>205</v>
      </c>
      <c r="F8" s="36"/>
      <c r="G8" s="55" t="s">
        <v>212</v>
      </c>
      <c r="H8" s="36" t="s">
        <v>203</v>
      </c>
      <c r="I8" s="36" t="s">
        <v>177</v>
      </c>
      <c r="J8" s="36" t="s">
        <v>213</v>
      </c>
      <c r="K8" s="36"/>
      <c r="L8" s="36" t="s">
        <v>212</v>
      </c>
      <c r="M8" s="36" t="s">
        <v>203</v>
      </c>
      <c r="N8" s="36" t="s">
        <v>177</v>
      </c>
      <c r="O8" s="36" t="s">
        <v>213</v>
      </c>
      <c r="P8" s="36"/>
      <c r="Q8" s="36"/>
      <c r="R8" s="36"/>
      <c r="S8" s="36"/>
    </row>
    <row r="9" spans="1:19">
      <c r="A9" s="36"/>
      <c r="B9" s="56">
        <v>52</v>
      </c>
      <c r="C9" s="36" t="s">
        <v>205</v>
      </c>
      <c r="D9" s="36" t="s">
        <v>177</v>
      </c>
      <c r="E9" s="36" t="s">
        <v>196</v>
      </c>
      <c r="F9" s="55"/>
      <c r="G9" s="55" t="s">
        <v>215</v>
      </c>
      <c r="H9" s="36" t="s">
        <v>207</v>
      </c>
      <c r="I9" s="36" t="s">
        <v>177</v>
      </c>
      <c r="J9" s="36" t="s">
        <v>209</v>
      </c>
      <c r="K9" s="55"/>
      <c r="L9" s="36" t="s">
        <v>215</v>
      </c>
      <c r="M9" s="36" t="s">
        <v>207</v>
      </c>
      <c r="N9" s="36" t="s">
        <v>177</v>
      </c>
      <c r="O9" s="36" t="s">
        <v>209</v>
      </c>
      <c r="P9" s="36"/>
      <c r="Q9" s="36"/>
      <c r="R9" s="36"/>
      <c r="S9" s="36"/>
    </row>
    <row r="10" spans="1:19">
      <c r="A10" s="36"/>
      <c r="B10" s="56">
        <v>53</v>
      </c>
      <c r="C10" s="36" t="s">
        <v>213</v>
      </c>
      <c r="D10" s="36" t="s">
        <v>177</v>
      </c>
      <c r="E10" s="36" t="s">
        <v>209</v>
      </c>
      <c r="F10" s="36"/>
      <c r="G10" s="55" t="s">
        <v>217</v>
      </c>
      <c r="H10" s="36" t="s">
        <v>218</v>
      </c>
      <c r="I10" s="36" t="s">
        <v>177</v>
      </c>
      <c r="J10" s="36" t="s">
        <v>219</v>
      </c>
      <c r="K10" s="36"/>
      <c r="L10" s="36" t="s">
        <v>217</v>
      </c>
      <c r="M10" s="36" t="s">
        <v>218</v>
      </c>
      <c r="N10" s="36" t="s">
        <v>177</v>
      </c>
      <c r="O10" s="36" t="s">
        <v>219</v>
      </c>
      <c r="P10" s="36"/>
      <c r="Q10" s="36"/>
      <c r="R10" s="36"/>
      <c r="S10" s="36"/>
    </row>
    <row r="11" spans="1:19">
      <c r="A11" s="36"/>
      <c r="B11" s="56">
        <v>56</v>
      </c>
      <c r="C11" s="36" t="s">
        <v>222</v>
      </c>
      <c r="D11" s="36" t="s">
        <v>177</v>
      </c>
      <c r="E11" s="36" t="s">
        <v>219</v>
      </c>
      <c r="F11" s="36"/>
      <c r="G11" s="55" t="s">
        <v>223</v>
      </c>
      <c r="H11" s="36" t="s">
        <v>196</v>
      </c>
      <c r="I11" s="36" t="s">
        <v>177</v>
      </c>
      <c r="J11" s="36" t="s">
        <v>224</v>
      </c>
      <c r="K11" s="36"/>
      <c r="L11" s="55" t="s">
        <v>223</v>
      </c>
      <c r="M11" s="36" t="s">
        <v>196</v>
      </c>
      <c r="N11" s="36" t="s">
        <v>177</v>
      </c>
      <c r="O11" s="36" t="s">
        <v>224</v>
      </c>
      <c r="P11" s="36"/>
      <c r="Q11" s="36"/>
      <c r="R11" s="36"/>
      <c r="S11" s="36"/>
    </row>
    <row r="12" spans="1:19">
      <c r="A12" s="36"/>
      <c r="B12" s="56">
        <v>60</v>
      </c>
      <c r="C12" s="36" t="s">
        <v>226</v>
      </c>
      <c r="D12" s="36" t="s">
        <v>177</v>
      </c>
      <c r="E12" s="36" t="s">
        <v>219</v>
      </c>
      <c r="F12" s="36"/>
      <c r="G12" s="55" t="s">
        <v>227</v>
      </c>
      <c r="H12" s="36" t="s">
        <v>199</v>
      </c>
      <c r="I12" s="36" t="s">
        <v>177</v>
      </c>
      <c r="J12" s="36" t="s">
        <v>224</v>
      </c>
      <c r="K12" s="36"/>
      <c r="L12" s="55" t="s">
        <v>227</v>
      </c>
      <c r="M12" s="36" t="s">
        <v>199</v>
      </c>
      <c r="N12" s="36" t="s">
        <v>177</v>
      </c>
      <c r="O12" s="36" t="s">
        <v>224</v>
      </c>
      <c r="P12" s="36"/>
      <c r="Q12" s="36"/>
      <c r="R12" s="36"/>
      <c r="S12" s="36"/>
    </row>
    <row r="13" spans="1:19">
      <c r="A13" s="36"/>
      <c r="B13" s="56">
        <v>63</v>
      </c>
      <c r="C13" s="36" t="s">
        <v>226</v>
      </c>
      <c r="D13" s="36" t="s">
        <v>177</v>
      </c>
      <c r="E13" s="36" t="s">
        <v>229</v>
      </c>
      <c r="F13" s="36"/>
      <c r="G13" s="55" t="s">
        <v>230</v>
      </c>
      <c r="H13" s="36" t="s">
        <v>199</v>
      </c>
      <c r="I13" s="36" t="s">
        <v>177</v>
      </c>
      <c r="J13" s="36" t="s">
        <v>231</v>
      </c>
      <c r="K13" s="36"/>
      <c r="L13" s="36" t="s">
        <v>230</v>
      </c>
      <c r="M13" s="36" t="s">
        <v>199</v>
      </c>
      <c r="N13" s="36" t="s">
        <v>177</v>
      </c>
      <c r="O13" s="36" t="s">
        <v>231</v>
      </c>
      <c r="P13" s="36"/>
      <c r="Q13" s="36"/>
      <c r="R13" s="36"/>
      <c r="S13" s="36"/>
    </row>
    <row r="14" spans="1:19">
      <c r="A14" s="36"/>
      <c r="B14" s="56">
        <v>65</v>
      </c>
      <c r="C14" s="36" t="s">
        <v>226</v>
      </c>
      <c r="D14" s="36" t="s">
        <v>177</v>
      </c>
      <c r="E14" s="36" t="s">
        <v>229</v>
      </c>
      <c r="F14" s="36"/>
      <c r="G14" s="55" t="s">
        <v>233</v>
      </c>
      <c r="H14" s="36" t="s">
        <v>199</v>
      </c>
      <c r="I14" s="36" t="s">
        <v>177</v>
      </c>
      <c r="J14" s="36" t="s">
        <v>231</v>
      </c>
      <c r="K14" s="36"/>
      <c r="L14" s="36" t="s">
        <v>233</v>
      </c>
      <c r="M14" s="36" t="s">
        <v>199</v>
      </c>
      <c r="N14" s="36" t="s">
        <v>177</v>
      </c>
      <c r="O14" s="36" t="s">
        <v>231</v>
      </c>
      <c r="P14" s="36"/>
      <c r="Q14" s="36"/>
      <c r="R14" s="36"/>
      <c r="S14" s="36"/>
    </row>
    <row r="15" spans="1:19">
      <c r="A15" s="57"/>
      <c r="B15" s="58">
        <v>68</v>
      </c>
      <c r="C15" s="57" t="s">
        <v>235</v>
      </c>
      <c r="D15" s="57"/>
      <c r="E15" s="57"/>
      <c r="F15" s="57"/>
      <c r="G15" s="59" t="s">
        <v>236</v>
      </c>
      <c r="H15" s="57" t="s">
        <v>209</v>
      </c>
      <c r="I15" s="57"/>
      <c r="J15" s="57"/>
      <c r="K15" s="57"/>
      <c r="L15" s="59" t="s">
        <v>236</v>
      </c>
      <c r="M15" s="57" t="s">
        <v>209</v>
      </c>
      <c r="N15" s="57"/>
      <c r="O15" s="57"/>
      <c r="P15" s="57"/>
      <c r="Q15" s="57"/>
      <c r="R15" s="57"/>
      <c r="S15" s="36"/>
    </row>
    <row r="16" spans="1:19">
      <c r="A16" s="36"/>
      <c r="B16" s="56">
        <v>73</v>
      </c>
      <c r="C16" s="36" t="s">
        <v>199</v>
      </c>
      <c r="D16" s="36" t="s">
        <v>177</v>
      </c>
      <c r="E16" s="36" t="s">
        <v>238</v>
      </c>
      <c r="F16" s="36"/>
      <c r="G16" s="55" t="s">
        <v>239</v>
      </c>
      <c r="H16" s="36" t="s">
        <v>209</v>
      </c>
      <c r="I16" s="36" t="s">
        <v>177</v>
      </c>
      <c r="J16" s="36" t="s">
        <v>240</v>
      </c>
      <c r="K16" s="36"/>
      <c r="L16" s="36" t="s">
        <v>239</v>
      </c>
      <c r="M16" s="36" t="s">
        <v>209</v>
      </c>
      <c r="N16" s="36" t="s">
        <v>177</v>
      </c>
      <c r="O16" s="36" t="s">
        <v>240</v>
      </c>
      <c r="P16" s="36"/>
      <c r="Q16" s="36" t="s">
        <v>241</v>
      </c>
      <c r="R16" s="36" t="s">
        <v>242</v>
      </c>
      <c r="S16" s="36"/>
    </row>
    <row r="17" spans="1:19">
      <c r="A17" s="36"/>
      <c r="B17" s="56">
        <v>76</v>
      </c>
      <c r="C17" s="36" t="s">
        <v>244</v>
      </c>
      <c r="D17" s="36" t="s">
        <v>177</v>
      </c>
      <c r="E17" s="36" t="s">
        <v>240</v>
      </c>
      <c r="F17" s="36"/>
      <c r="G17" s="55" t="s">
        <v>245</v>
      </c>
      <c r="H17" s="36" t="s">
        <v>219</v>
      </c>
      <c r="I17" s="36" t="s">
        <v>177</v>
      </c>
      <c r="J17" s="36" t="s">
        <v>246</v>
      </c>
      <c r="K17" s="36"/>
      <c r="L17" s="36" t="s">
        <v>245</v>
      </c>
      <c r="M17" s="36" t="s">
        <v>219</v>
      </c>
      <c r="N17" s="36" t="s">
        <v>177</v>
      </c>
      <c r="O17" s="36" t="s">
        <v>246</v>
      </c>
      <c r="P17" s="36"/>
      <c r="Q17" s="36" t="s">
        <v>247</v>
      </c>
      <c r="R17" s="36" t="s">
        <v>248</v>
      </c>
      <c r="S17" s="36"/>
    </row>
    <row r="18" spans="1:19">
      <c r="A18" s="36"/>
      <c r="B18" s="56">
        <v>78</v>
      </c>
      <c r="C18" s="36" t="s">
        <v>244</v>
      </c>
      <c r="D18" s="36" t="s">
        <v>177</v>
      </c>
      <c r="E18" s="36" t="s">
        <v>240</v>
      </c>
      <c r="F18" s="36"/>
      <c r="G18" s="55" t="s">
        <v>250</v>
      </c>
      <c r="H18" s="36" t="s">
        <v>219</v>
      </c>
      <c r="I18" s="36" t="s">
        <v>177</v>
      </c>
      <c r="J18" s="36" t="s">
        <v>246</v>
      </c>
      <c r="K18" s="36"/>
      <c r="L18" s="36" t="s">
        <v>250</v>
      </c>
      <c r="M18" s="36" t="s">
        <v>219</v>
      </c>
      <c r="N18" s="36" t="s">
        <v>177</v>
      </c>
      <c r="O18" s="36" t="s">
        <v>246</v>
      </c>
      <c r="P18" s="36"/>
      <c r="Q18" s="36" t="s">
        <v>251</v>
      </c>
      <c r="R18" s="36" t="s">
        <v>252</v>
      </c>
      <c r="S18" s="36"/>
    </row>
    <row r="19" spans="1:19">
      <c r="A19" s="36"/>
      <c r="B19" s="56">
        <v>80</v>
      </c>
      <c r="C19" s="36" t="s">
        <v>224</v>
      </c>
      <c r="D19" s="36" t="s">
        <v>177</v>
      </c>
      <c r="E19" s="36" t="s">
        <v>246</v>
      </c>
      <c r="F19" s="36"/>
      <c r="G19" s="55" t="s">
        <v>254</v>
      </c>
      <c r="H19" s="36" t="s">
        <v>224</v>
      </c>
      <c r="I19" s="36" t="s">
        <v>177</v>
      </c>
      <c r="J19" s="36" t="s">
        <v>255</v>
      </c>
      <c r="K19" s="36"/>
      <c r="L19" s="36" t="s">
        <v>254</v>
      </c>
      <c r="M19" s="36" t="s">
        <v>224</v>
      </c>
      <c r="N19" s="36" t="s">
        <v>177</v>
      </c>
      <c r="O19" s="36" t="s">
        <v>255</v>
      </c>
      <c r="P19" s="36"/>
      <c r="Q19" s="36"/>
      <c r="R19" s="36"/>
      <c r="S19" s="36"/>
    </row>
    <row r="20" spans="1:19">
      <c r="A20" s="36"/>
      <c r="B20" s="56">
        <v>82</v>
      </c>
      <c r="C20" s="36" t="s">
        <v>224</v>
      </c>
      <c r="D20" s="36"/>
      <c r="E20" s="36"/>
      <c r="F20" s="36"/>
      <c r="G20" s="55" t="s">
        <v>257</v>
      </c>
      <c r="H20" s="36" t="s">
        <v>224</v>
      </c>
      <c r="I20" s="36"/>
      <c r="J20" s="36"/>
      <c r="K20" s="36"/>
      <c r="L20" s="36" t="s">
        <v>257</v>
      </c>
      <c r="M20" s="36" t="s">
        <v>224</v>
      </c>
      <c r="N20" s="36"/>
      <c r="O20" s="36"/>
      <c r="P20" s="36"/>
      <c r="Q20" s="36"/>
      <c r="R20" s="36"/>
      <c r="S20" s="36"/>
    </row>
    <row r="21" spans="1:19">
      <c r="A21" s="36"/>
      <c r="B21" s="56">
        <v>83</v>
      </c>
      <c r="C21" s="36" t="s">
        <v>219</v>
      </c>
      <c r="D21" s="36" t="s">
        <v>177</v>
      </c>
      <c r="E21" s="36" t="s">
        <v>240</v>
      </c>
      <c r="F21" s="36"/>
      <c r="G21" s="55" t="s">
        <v>259</v>
      </c>
      <c r="H21" s="36" t="s">
        <v>229</v>
      </c>
      <c r="I21" s="36" t="s">
        <v>177</v>
      </c>
      <c r="J21" s="36" t="s">
        <v>255</v>
      </c>
      <c r="K21" s="36"/>
      <c r="L21" s="36" t="s">
        <v>259</v>
      </c>
      <c r="M21" s="36" t="s">
        <v>229</v>
      </c>
      <c r="N21" s="36" t="s">
        <v>177</v>
      </c>
      <c r="O21" s="36" t="s">
        <v>255</v>
      </c>
      <c r="P21" s="36"/>
      <c r="Q21" s="55" t="s">
        <v>260</v>
      </c>
      <c r="R21" s="36" t="s">
        <v>261</v>
      </c>
      <c r="S21" s="36"/>
    </row>
    <row r="22" spans="1:19">
      <c r="A22" s="36"/>
      <c r="B22" s="56">
        <v>86</v>
      </c>
      <c r="C22" s="36"/>
      <c r="D22" s="36" t="s">
        <v>177</v>
      </c>
      <c r="E22" s="36" t="s">
        <v>263</v>
      </c>
      <c r="F22" s="36"/>
      <c r="G22" s="55" t="s">
        <v>264</v>
      </c>
      <c r="H22" s="36"/>
      <c r="I22" s="36" t="s">
        <v>177</v>
      </c>
      <c r="J22" s="36" t="s">
        <v>265</v>
      </c>
      <c r="K22" s="36"/>
      <c r="L22" s="36" t="s">
        <v>264</v>
      </c>
      <c r="M22" s="36"/>
      <c r="N22" s="36" t="s">
        <v>177</v>
      </c>
      <c r="O22" s="36" t="s">
        <v>265</v>
      </c>
      <c r="P22" s="36"/>
      <c r="Q22" s="36"/>
      <c r="R22" s="36"/>
      <c r="S22" s="36"/>
    </row>
    <row r="23" spans="1:20">
      <c r="A23" s="57"/>
      <c r="B23" s="58">
        <v>89</v>
      </c>
      <c r="C23" s="57" t="s">
        <v>229</v>
      </c>
      <c r="D23" s="57" t="s">
        <v>177</v>
      </c>
      <c r="E23" s="57" t="s">
        <v>263</v>
      </c>
      <c r="F23" s="57"/>
      <c r="G23" s="59" t="s">
        <v>267</v>
      </c>
      <c r="H23" s="57" t="s">
        <v>238</v>
      </c>
      <c r="I23" s="57" t="s">
        <v>177</v>
      </c>
      <c r="J23" s="57" t="s">
        <v>265</v>
      </c>
      <c r="K23" s="57"/>
      <c r="L23" s="57" t="s">
        <v>267</v>
      </c>
      <c r="M23" s="57" t="s">
        <v>238</v>
      </c>
      <c r="N23" s="57" t="s">
        <v>177</v>
      </c>
      <c r="O23" s="57" t="s">
        <v>265</v>
      </c>
      <c r="P23" s="57"/>
      <c r="Q23" s="59" t="s">
        <v>268</v>
      </c>
      <c r="R23" s="57" t="s">
        <v>269</v>
      </c>
      <c r="S23" s="57"/>
      <c r="T23" s="64"/>
    </row>
    <row r="24" spans="1:19">
      <c r="A24" s="36"/>
      <c r="B24" s="56">
        <v>92</v>
      </c>
      <c r="C24" s="36" t="s">
        <v>231</v>
      </c>
      <c r="D24" s="36" t="s">
        <v>177</v>
      </c>
      <c r="E24" s="36" t="s">
        <v>271</v>
      </c>
      <c r="F24" s="36"/>
      <c r="G24" s="55" t="s">
        <v>272</v>
      </c>
      <c r="H24" s="36" t="s">
        <v>240</v>
      </c>
      <c r="I24" s="36" t="s">
        <v>177</v>
      </c>
      <c r="J24" s="36" t="s">
        <v>273</v>
      </c>
      <c r="K24" s="36"/>
      <c r="L24" s="55" t="s">
        <v>272</v>
      </c>
      <c r="M24" s="36" t="s">
        <v>240</v>
      </c>
      <c r="N24" s="36" t="s">
        <v>177</v>
      </c>
      <c r="O24" s="36" t="s">
        <v>273</v>
      </c>
      <c r="P24" s="36"/>
      <c r="Q24" s="36"/>
      <c r="R24" s="36"/>
      <c r="S24" s="36"/>
    </row>
    <row r="25" spans="1:19">
      <c r="A25" s="36"/>
      <c r="B25" s="56">
        <v>94</v>
      </c>
      <c r="C25" s="36" t="s">
        <v>238</v>
      </c>
      <c r="D25" s="36" t="s">
        <v>177</v>
      </c>
      <c r="E25" s="36" t="s">
        <v>265</v>
      </c>
      <c r="F25" s="36"/>
      <c r="G25" s="55" t="s">
        <v>275</v>
      </c>
      <c r="H25" s="36" t="s">
        <v>246</v>
      </c>
      <c r="I25" s="36" t="s">
        <v>177</v>
      </c>
      <c r="J25" s="36" t="s">
        <v>276</v>
      </c>
      <c r="K25" s="36"/>
      <c r="L25" s="36" t="s">
        <v>275</v>
      </c>
      <c r="M25" s="36" t="s">
        <v>246</v>
      </c>
      <c r="N25" s="36" t="s">
        <v>177</v>
      </c>
      <c r="O25" s="36" t="s">
        <v>276</v>
      </c>
      <c r="P25" s="36"/>
      <c r="Q25" s="36"/>
      <c r="R25" s="36"/>
      <c r="S25" s="36"/>
    </row>
    <row r="26" spans="1:19">
      <c r="A26" s="36"/>
      <c r="B26" s="56">
        <v>99</v>
      </c>
      <c r="C26" s="36" t="s">
        <v>238</v>
      </c>
      <c r="D26" s="36" t="s">
        <v>177</v>
      </c>
      <c r="E26" s="36" t="s">
        <v>273</v>
      </c>
      <c r="F26" s="36"/>
      <c r="G26" s="55" t="s">
        <v>278</v>
      </c>
      <c r="H26" s="36" t="s">
        <v>246</v>
      </c>
      <c r="I26" s="36" t="s">
        <v>177</v>
      </c>
      <c r="J26" s="36" t="s">
        <v>279</v>
      </c>
      <c r="K26" s="36"/>
      <c r="L26" s="36" t="s">
        <v>278</v>
      </c>
      <c r="M26" s="36" t="s">
        <v>246</v>
      </c>
      <c r="N26" s="36" t="s">
        <v>177</v>
      </c>
      <c r="O26" s="36" t="s">
        <v>279</v>
      </c>
      <c r="P26" s="36"/>
      <c r="Q26" s="55" t="s">
        <v>280</v>
      </c>
      <c r="R26" s="36" t="s">
        <v>281</v>
      </c>
      <c r="S26" s="36"/>
    </row>
    <row r="27" spans="1:19">
      <c r="A27" s="36"/>
      <c r="B27" s="56">
        <v>105</v>
      </c>
      <c r="C27" s="36" t="s">
        <v>283</v>
      </c>
      <c r="D27" s="36" t="s">
        <v>177</v>
      </c>
      <c r="E27" s="36" t="s">
        <v>284</v>
      </c>
      <c r="F27" s="36"/>
      <c r="G27" s="55" t="s">
        <v>285</v>
      </c>
      <c r="H27" s="36" t="s">
        <v>265</v>
      </c>
      <c r="I27" s="36" t="s">
        <v>177</v>
      </c>
      <c r="J27" s="36" t="s">
        <v>286</v>
      </c>
      <c r="K27" s="36"/>
      <c r="L27" s="55" t="s">
        <v>285</v>
      </c>
      <c r="M27" s="36" t="s">
        <v>265</v>
      </c>
      <c r="N27" s="36" t="s">
        <v>177</v>
      </c>
      <c r="O27" s="36" t="s">
        <v>286</v>
      </c>
      <c r="P27" s="36"/>
      <c r="Q27" s="36"/>
      <c r="R27" s="36"/>
      <c r="S27" s="36"/>
    </row>
    <row r="28" spans="1:19">
      <c r="A28" s="36"/>
      <c r="B28" s="56">
        <v>110</v>
      </c>
      <c r="C28" s="36" t="s">
        <v>288</v>
      </c>
      <c r="D28" s="36" t="s">
        <v>177</v>
      </c>
      <c r="E28" s="36" t="s">
        <v>289</v>
      </c>
      <c r="F28" s="36"/>
      <c r="G28" s="55" t="s">
        <v>290</v>
      </c>
      <c r="H28" s="36" t="s">
        <v>276</v>
      </c>
      <c r="I28" s="36" t="s">
        <v>177</v>
      </c>
      <c r="J28" s="36" t="s">
        <v>291</v>
      </c>
      <c r="K28" s="36"/>
      <c r="L28" s="36" t="s">
        <v>290</v>
      </c>
      <c r="M28" s="36" t="s">
        <v>276</v>
      </c>
      <c r="N28" s="36" t="s">
        <v>177</v>
      </c>
      <c r="O28" s="36" t="s">
        <v>291</v>
      </c>
      <c r="P28" s="36"/>
      <c r="Q28" s="55" t="s">
        <v>292</v>
      </c>
      <c r="R28" s="36" t="s">
        <v>293</v>
      </c>
      <c r="S28" s="36"/>
    </row>
    <row r="29" spans="1:19">
      <c r="A29" s="36"/>
      <c r="B29" s="56">
        <v>115</v>
      </c>
      <c r="C29" s="36" t="s">
        <v>295</v>
      </c>
      <c r="D29" s="36" t="s">
        <v>177</v>
      </c>
      <c r="E29" s="36" t="s">
        <v>296</v>
      </c>
      <c r="F29" s="36"/>
      <c r="G29" s="55" t="s">
        <v>297</v>
      </c>
      <c r="H29" s="36" t="s">
        <v>279</v>
      </c>
      <c r="I29" s="36" t="s">
        <v>177</v>
      </c>
      <c r="J29" s="36" t="s">
        <v>298</v>
      </c>
      <c r="K29" s="36"/>
      <c r="L29" s="36" t="s">
        <v>297</v>
      </c>
      <c r="M29" s="36" t="s">
        <v>279</v>
      </c>
      <c r="N29" s="36" t="s">
        <v>177</v>
      </c>
      <c r="O29" s="36" t="s">
        <v>298</v>
      </c>
      <c r="P29" s="36"/>
      <c r="Q29" s="55" t="s">
        <v>299</v>
      </c>
      <c r="R29" s="36" t="s">
        <v>300</v>
      </c>
      <c r="S29" s="36"/>
    </row>
    <row r="30" spans="1:19">
      <c r="A30" s="36"/>
      <c r="B30" s="56">
        <v>120</v>
      </c>
      <c r="C30" s="36" t="s">
        <v>284</v>
      </c>
      <c r="D30" s="36" t="s">
        <v>177</v>
      </c>
      <c r="E30" s="36" t="s">
        <v>302</v>
      </c>
      <c r="F30" s="36"/>
      <c r="G30" s="55" t="s">
        <v>303</v>
      </c>
      <c r="H30" s="36" t="s">
        <v>304</v>
      </c>
      <c r="I30" s="36" t="s">
        <v>177</v>
      </c>
      <c r="J30" s="36" t="s">
        <v>305</v>
      </c>
      <c r="K30" s="36"/>
      <c r="L30" s="36" t="s">
        <v>303</v>
      </c>
      <c r="M30" s="36" t="s">
        <v>304</v>
      </c>
      <c r="N30" s="36" t="s">
        <v>177</v>
      </c>
      <c r="O30" s="36" t="s">
        <v>305</v>
      </c>
      <c r="P30" s="36"/>
      <c r="Q30" s="55" t="s">
        <v>306</v>
      </c>
      <c r="R30" s="36" t="s">
        <v>307</v>
      </c>
      <c r="S30" s="36"/>
    </row>
    <row r="31" spans="1:19">
      <c r="A31" s="36"/>
      <c r="B31" s="56">
        <v>126</v>
      </c>
      <c r="C31" s="36" t="s">
        <v>289</v>
      </c>
      <c r="D31" s="36" t="s">
        <v>177</v>
      </c>
      <c r="E31" s="36" t="s">
        <v>309</v>
      </c>
      <c r="F31" s="36"/>
      <c r="G31" s="55" t="s">
        <v>310</v>
      </c>
      <c r="H31" s="36" t="s">
        <v>289</v>
      </c>
      <c r="I31" s="36" t="s">
        <v>177</v>
      </c>
      <c r="J31" s="36" t="s">
        <v>311</v>
      </c>
      <c r="K31" s="36"/>
      <c r="L31" s="36" t="s">
        <v>310</v>
      </c>
      <c r="M31" s="36" t="s">
        <v>289</v>
      </c>
      <c r="N31" s="36" t="s">
        <v>177</v>
      </c>
      <c r="O31" s="36" t="s">
        <v>311</v>
      </c>
      <c r="P31" s="36"/>
      <c r="Q31" s="36"/>
      <c r="R31" s="36"/>
      <c r="S31" s="36"/>
    </row>
    <row r="32" spans="1:19">
      <c r="A32" s="36"/>
      <c r="B32" s="56">
        <v>140</v>
      </c>
      <c r="C32" s="36" t="s">
        <v>242</v>
      </c>
      <c r="D32" s="36"/>
      <c r="E32" s="36"/>
      <c r="F32" s="36"/>
      <c r="G32" s="55" t="s">
        <v>313</v>
      </c>
      <c r="H32" s="36" t="s">
        <v>242</v>
      </c>
      <c r="I32" s="36"/>
      <c r="J32" s="36"/>
      <c r="K32" s="36"/>
      <c r="L32" s="36" t="s">
        <v>313</v>
      </c>
      <c r="M32" s="36" t="s">
        <v>242</v>
      </c>
      <c r="N32" s="36"/>
      <c r="O32" s="36"/>
      <c r="P32" s="36"/>
      <c r="Q32" s="55" t="s">
        <v>314</v>
      </c>
      <c r="R32" s="36" t="s">
        <v>315</v>
      </c>
      <c r="S32" s="36"/>
    </row>
    <row r="33" spans="1:19">
      <c r="A33" s="57"/>
      <c r="B33" s="58">
        <v>145</v>
      </c>
      <c r="C33" s="57" t="s">
        <v>317</v>
      </c>
      <c r="D33" s="57"/>
      <c r="E33" s="57"/>
      <c r="F33" s="57"/>
      <c r="G33" s="59" t="s">
        <v>318</v>
      </c>
      <c r="H33" s="57" t="s">
        <v>261</v>
      </c>
      <c r="I33" s="57"/>
      <c r="J33" s="57"/>
      <c r="K33" s="57"/>
      <c r="L33" s="57" t="s">
        <v>318</v>
      </c>
      <c r="M33" s="57" t="s">
        <v>261</v>
      </c>
      <c r="N33" s="57"/>
      <c r="O33" s="57"/>
      <c r="P33" s="57"/>
      <c r="Q33" s="55" t="s">
        <v>319</v>
      </c>
      <c r="R33" s="36" t="s">
        <v>320</v>
      </c>
      <c r="S33" s="57"/>
    </row>
    <row r="34" spans="1:19">
      <c r="A34" s="36"/>
      <c r="B34" s="56">
        <v>153</v>
      </c>
      <c r="C34" s="36" t="s">
        <v>269</v>
      </c>
      <c r="D34" s="36" t="s">
        <v>177</v>
      </c>
      <c r="E34" s="36" t="s">
        <v>281</v>
      </c>
      <c r="F34" s="36"/>
      <c r="G34" s="55" t="s">
        <v>322</v>
      </c>
      <c r="H34" s="36" t="s">
        <v>323</v>
      </c>
      <c r="I34" s="36" t="s">
        <v>177</v>
      </c>
      <c r="J34" s="36" t="s">
        <v>324</v>
      </c>
      <c r="K34" s="36"/>
      <c r="L34" s="36" t="s">
        <v>322</v>
      </c>
      <c r="M34" s="36" t="s">
        <v>323</v>
      </c>
      <c r="N34" s="36" t="s">
        <v>177</v>
      </c>
      <c r="O34" s="36" t="s">
        <v>324</v>
      </c>
      <c r="P34" s="36"/>
      <c r="Q34" s="55" t="s">
        <v>325</v>
      </c>
      <c r="R34" s="36" t="s">
        <v>326</v>
      </c>
      <c r="S34" s="36"/>
    </row>
    <row r="35" spans="1:19">
      <c r="A35" s="36"/>
      <c r="B35" s="56">
        <v>160</v>
      </c>
      <c r="C35" s="36" t="s">
        <v>328</v>
      </c>
      <c r="D35" s="36"/>
      <c r="E35" s="36"/>
      <c r="F35" s="36"/>
      <c r="G35" s="55" t="s">
        <v>329</v>
      </c>
      <c r="H35" s="36" t="s">
        <v>330</v>
      </c>
      <c r="I35" s="36"/>
      <c r="J35" s="36"/>
      <c r="K35" s="36"/>
      <c r="L35" s="55" t="s">
        <v>329</v>
      </c>
      <c r="M35" s="36" t="s">
        <v>330</v>
      </c>
      <c r="N35" s="36"/>
      <c r="O35" s="36"/>
      <c r="P35" s="36"/>
      <c r="Q35" s="36"/>
      <c r="R35" s="36"/>
      <c r="S35" s="36"/>
    </row>
    <row r="36" spans="1:19">
      <c r="A36" s="36"/>
      <c r="B36" s="56">
        <v>174</v>
      </c>
      <c r="C36" s="36" t="s">
        <v>315</v>
      </c>
      <c r="D36" s="36"/>
      <c r="E36" s="36"/>
      <c r="F36" s="36"/>
      <c r="G36" s="55" t="s">
        <v>332</v>
      </c>
      <c r="H36" s="36" t="s">
        <v>333</v>
      </c>
      <c r="I36" s="36"/>
      <c r="J36" s="36"/>
      <c r="K36" s="36"/>
      <c r="L36" s="36" t="s">
        <v>332</v>
      </c>
      <c r="M36" s="36" t="s">
        <v>333</v>
      </c>
      <c r="N36" s="36"/>
      <c r="O36" s="36"/>
      <c r="P36" s="36"/>
      <c r="Q36" s="55" t="s">
        <v>334</v>
      </c>
      <c r="R36" s="36" t="s">
        <v>335</v>
      </c>
      <c r="S36" s="36"/>
    </row>
    <row r="37" spans="1:19">
      <c r="A37" s="57"/>
      <c r="B37" s="58">
        <v>200</v>
      </c>
      <c r="C37" s="57" t="s">
        <v>337</v>
      </c>
      <c r="D37" s="57"/>
      <c r="E37" s="57"/>
      <c r="F37" s="57"/>
      <c r="G37" s="59" t="s">
        <v>338</v>
      </c>
      <c r="H37" s="57" t="s">
        <v>339</v>
      </c>
      <c r="I37" s="57"/>
      <c r="J37" s="57"/>
      <c r="K37" s="57"/>
      <c r="L37" s="57" t="s">
        <v>338</v>
      </c>
      <c r="M37" s="57" t="s">
        <v>339</v>
      </c>
      <c r="N37" s="57"/>
      <c r="O37" s="57"/>
      <c r="P37" s="57"/>
      <c r="Q37" s="59" t="s">
        <v>340</v>
      </c>
      <c r="R37" s="57" t="s">
        <v>341</v>
      </c>
      <c r="S37" s="57"/>
    </row>
    <row r="38" spans="1:19">
      <c r="A38" s="36"/>
      <c r="B38" s="54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40" spans="2:2">
      <c r="B40" s="60"/>
    </row>
    <row r="41" spans="2:2">
      <c r="B41" s="60"/>
    </row>
    <row r="42" spans="2:2">
      <c r="B42" s="60"/>
    </row>
    <row r="43" spans="2:2">
      <c r="B43" s="60"/>
    </row>
    <row r="44" spans="2:2">
      <c r="B44" s="60"/>
    </row>
    <row r="45" spans="2:2">
      <c r="B45" s="61"/>
    </row>
  </sheetData>
  <sheetProtection password="CC57" sheet="1" objects="1"/>
  <mergeCells count="5">
    <mergeCell ref="A1:R1"/>
    <mergeCell ref="A2:R2"/>
    <mergeCell ref="C3:E3"/>
    <mergeCell ref="G3:I3"/>
    <mergeCell ref="B40:B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workbookViewId="0">
      <selection activeCell="C34" sqref="C34"/>
    </sheetView>
  </sheetViews>
  <sheetFormatPr defaultColWidth="9" defaultRowHeight="13.5"/>
  <sheetData>
    <row r="1" spans="1:18">
      <c r="A1" s="48" t="s">
        <v>342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>
      <c r="A2" s="49" t="s">
        <v>343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3">
      <c r="A3" t="s">
        <v>186</v>
      </c>
      <c r="B3" t="s">
        <v>170</v>
      </c>
      <c r="C3" s="48" t="s">
        <v>171</v>
      </c>
      <c r="D3" s="48"/>
      <c r="E3" s="48"/>
      <c r="G3" s="48" t="s">
        <v>172</v>
      </c>
      <c r="H3" s="48"/>
      <c r="I3" s="48"/>
      <c r="L3" s="52"/>
      <c r="M3" t="s">
        <v>173</v>
      </c>
    </row>
    <row r="4" spans="1:13">
      <c r="A4" t="s">
        <v>188</v>
      </c>
      <c r="B4" t="s">
        <v>189</v>
      </c>
      <c r="C4" s="49" t="s">
        <v>190</v>
      </c>
      <c r="D4" s="48"/>
      <c r="E4" s="48"/>
      <c r="G4" t="s">
        <v>191</v>
      </c>
      <c r="H4" s="49" t="s">
        <v>192</v>
      </c>
      <c r="I4" s="48"/>
      <c r="J4" s="48"/>
      <c r="L4" s="49" t="s">
        <v>191</v>
      </c>
      <c r="M4" s="49" t="s">
        <v>192</v>
      </c>
    </row>
    <row r="5" spans="1:15">
      <c r="A5" t="s">
        <v>194</v>
      </c>
      <c r="B5" t="s">
        <v>195</v>
      </c>
      <c r="C5" s="49" t="s">
        <v>192</v>
      </c>
      <c r="D5" t="s">
        <v>177</v>
      </c>
      <c r="E5" t="s">
        <v>196</v>
      </c>
      <c r="G5" t="s">
        <v>197</v>
      </c>
      <c r="H5" s="49" t="s">
        <v>198</v>
      </c>
      <c r="I5" t="s">
        <v>177</v>
      </c>
      <c r="J5" s="53" t="s">
        <v>199</v>
      </c>
      <c r="L5" t="s">
        <v>197</v>
      </c>
      <c r="M5" s="49" t="s">
        <v>198</v>
      </c>
      <c r="N5" t="s">
        <v>177</v>
      </c>
      <c r="O5" s="53" t="s">
        <v>199</v>
      </c>
    </row>
    <row r="6" spans="1:13">
      <c r="A6" t="s">
        <v>201</v>
      </c>
      <c r="B6" t="s">
        <v>202</v>
      </c>
      <c r="C6" s="49" t="s">
        <v>203</v>
      </c>
      <c r="G6" t="s">
        <v>204</v>
      </c>
      <c r="H6" s="49" t="s">
        <v>205</v>
      </c>
      <c r="L6" s="49" t="s">
        <v>204</v>
      </c>
      <c r="M6" s="49" t="s">
        <v>205</v>
      </c>
    </row>
    <row r="7" spans="2:15">
      <c r="B7" t="s">
        <v>206</v>
      </c>
      <c r="C7" s="49" t="s">
        <v>207</v>
      </c>
      <c r="D7" t="s">
        <v>177</v>
      </c>
      <c r="E7" t="s">
        <v>199</v>
      </c>
      <c r="G7" t="s">
        <v>208</v>
      </c>
      <c r="H7" s="49" t="s">
        <v>207</v>
      </c>
      <c r="I7" t="s">
        <v>177</v>
      </c>
      <c r="J7" t="s">
        <v>209</v>
      </c>
      <c r="L7" t="s">
        <v>208</v>
      </c>
      <c r="M7" s="49" t="s">
        <v>207</v>
      </c>
      <c r="N7" t="s">
        <v>177</v>
      </c>
      <c r="O7" t="s">
        <v>209</v>
      </c>
    </row>
    <row r="8" spans="2:15">
      <c r="B8" s="49" t="s">
        <v>210</v>
      </c>
      <c r="C8" t="s">
        <v>211</v>
      </c>
      <c r="D8" t="s">
        <v>177</v>
      </c>
      <c r="E8" t="s">
        <v>205</v>
      </c>
      <c r="G8" s="49" t="s">
        <v>212</v>
      </c>
      <c r="H8" t="s">
        <v>203</v>
      </c>
      <c r="I8" t="s">
        <v>177</v>
      </c>
      <c r="J8" t="s">
        <v>213</v>
      </c>
      <c r="L8" t="s">
        <v>212</v>
      </c>
      <c r="M8" t="s">
        <v>203</v>
      </c>
      <c r="N8" t="s">
        <v>177</v>
      </c>
      <c r="O8" t="s">
        <v>213</v>
      </c>
    </row>
    <row r="9" spans="2:15">
      <c r="B9" s="49" t="s">
        <v>214</v>
      </c>
      <c r="C9" t="s">
        <v>205</v>
      </c>
      <c r="D9" t="s">
        <v>177</v>
      </c>
      <c r="E9" t="s">
        <v>196</v>
      </c>
      <c r="F9" s="49"/>
      <c r="G9" s="49" t="s">
        <v>215</v>
      </c>
      <c r="H9" t="s">
        <v>207</v>
      </c>
      <c r="I9" t="s">
        <v>177</v>
      </c>
      <c r="J9" t="s">
        <v>209</v>
      </c>
      <c r="K9" s="49"/>
      <c r="L9" t="s">
        <v>215</v>
      </c>
      <c r="M9" t="s">
        <v>207</v>
      </c>
      <c r="N9" t="s">
        <v>177</v>
      </c>
      <c r="O9" t="s">
        <v>209</v>
      </c>
    </row>
    <row r="10" spans="2:15">
      <c r="B10" s="49" t="s">
        <v>216</v>
      </c>
      <c r="C10" t="s">
        <v>213</v>
      </c>
      <c r="D10" t="s">
        <v>177</v>
      </c>
      <c r="E10" t="s">
        <v>209</v>
      </c>
      <c r="G10" s="49" t="s">
        <v>217</v>
      </c>
      <c r="H10" t="s">
        <v>218</v>
      </c>
      <c r="I10" t="s">
        <v>177</v>
      </c>
      <c r="J10" t="s">
        <v>219</v>
      </c>
      <c r="L10" t="s">
        <v>217</v>
      </c>
      <c r="M10" t="s">
        <v>218</v>
      </c>
      <c r="N10" t="s">
        <v>177</v>
      </c>
      <c r="O10" t="s">
        <v>219</v>
      </c>
    </row>
    <row r="11" spans="2:15">
      <c r="B11" s="49" t="s">
        <v>221</v>
      </c>
      <c r="C11" t="s">
        <v>222</v>
      </c>
      <c r="D11" t="s">
        <v>177</v>
      </c>
      <c r="E11" t="s">
        <v>219</v>
      </c>
      <c r="G11" s="49" t="s">
        <v>223</v>
      </c>
      <c r="H11" t="s">
        <v>196</v>
      </c>
      <c r="I11" t="s">
        <v>177</v>
      </c>
      <c r="J11" t="s">
        <v>224</v>
      </c>
      <c r="L11" s="49" t="s">
        <v>223</v>
      </c>
      <c r="M11" t="s">
        <v>196</v>
      </c>
      <c r="N11" t="s">
        <v>177</v>
      </c>
      <c r="O11" t="s">
        <v>224</v>
      </c>
    </row>
    <row r="12" spans="2:15">
      <c r="B12" s="49" t="s">
        <v>225</v>
      </c>
      <c r="C12" t="s">
        <v>226</v>
      </c>
      <c r="D12" t="s">
        <v>177</v>
      </c>
      <c r="E12" t="s">
        <v>219</v>
      </c>
      <c r="G12" s="49" t="s">
        <v>227</v>
      </c>
      <c r="H12" t="s">
        <v>199</v>
      </c>
      <c r="I12" t="s">
        <v>177</v>
      </c>
      <c r="J12" t="s">
        <v>224</v>
      </c>
      <c r="L12" s="49" t="s">
        <v>227</v>
      </c>
      <c r="M12" t="s">
        <v>199</v>
      </c>
      <c r="N12" t="s">
        <v>177</v>
      </c>
      <c r="O12" t="s">
        <v>224</v>
      </c>
    </row>
    <row r="13" spans="2:15">
      <c r="B13" s="49" t="s">
        <v>228</v>
      </c>
      <c r="C13" t="s">
        <v>226</v>
      </c>
      <c r="D13" t="s">
        <v>177</v>
      </c>
      <c r="E13" t="s">
        <v>229</v>
      </c>
      <c r="G13" s="49" t="s">
        <v>230</v>
      </c>
      <c r="H13" t="s">
        <v>199</v>
      </c>
      <c r="I13" t="s">
        <v>177</v>
      </c>
      <c r="J13" t="s">
        <v>231</v>
      </c>
      <c r="L13" t="s">
        <v>230</v>
      </c>
      <c r="M13" t="s">
        <v>199</v>
      </c>
      <c r="N13" t="s">
        <v>177</v>
      </c>
      <c r="O13" t="s">
        <v>231</v>
      </c>
    </row>
    <row r="14" spans="2:15">
      <c r="B14" s="49" t="s">
        <v>232</v>
      </c>
      <c r="C14" t="s">
        <v>226</v>
      </c>
      <c r="D14" t="s">
        <v>177</v>
      </c>
      <c r="E14" t="s">
        <v>229</v>
      </c>
      <c r="G14" s="49" t="s">
        <v>233</v>
      </c>
      <c r="H14" t="s">
        <v>199</v>
      </c>
      <c r="I14" t="s">
        <v>177</v>
      </c>
      <c r="J14" t="s">
        <v>231</v>
      </c>
      <c r="L14" t="s">
        <v>233</v>
      </c>
      <c r="M14" t="s">
        <v>199</v>
      </c>
      <c r="N14" t="s">
        <v>177</v>
      </c>
      <c r="O14" t="s">
        <v>231</v>
      </c>
    </row>
    <row r="15" spans="1:18">
      <c r="A15" s="5"/>
      <c r="B15" s="50" t="s">
        <v>234</v>
      </c>
      <c r="C15" s="5" t="s">
        <v>235</v>
      </c>
      <c r="D15" s="5"/>
      <c r="E15" s="5"/>
      <c r="F15" s="5"/>
      <c r="G15" s="50" t="s">
        <v>236</v>
      </c>
      <c r="H15" s="5" t="s">
        <v>209</v>
      </c>
      <c r="I15" s="5"/>
      <c r="J15" s="5"/>
      <c r="K15" s="5"/>
      <c r="L15" s="50" t="s">
        <v>236</v>
      </c>
      <c r="M15" s="5" t="s">
        <v>209</v>
      </c>
      <c r="N15" s="5"/>
      <c r="O15" s="5"/>
      <c r="P15" s="5"/>
      <c r="Q15" s="5"/>
      <c r="R15" s="5"/>
    </row>
    <row r="16" spans="2:18">
      <c r="B16" s="49" t="s">
        <v>237</v>
      </c>
      <c r="C16" t="s">
        <v>199</v>
      </c>
      <c r="D16" t="s">
        <v>177</v>
      </c>
      <c r="E16" t="s">
        <v>238</v>
      </c>
      <c r="G16" s="49" t="s">
        <v>239</v>
      </c>
      <c r="H16" t="s">
        <v>209</v>
      </c>
      <c r="I16" t="s">
        <v>177</v>
      </c>
      <c r="J16" t="s">
        <v>240</v>
      </c>
      <c r="L16" t="s">
        <v>239</v>
      </c>
      <c r="M16" t="s">
        <v>209</v>
      </c>
      <c r="N16" t="s">
        <v>177</v>
      </c>
      <c r="O16" t="s">
        <v>240</v>
      </c>
      <c r="Q16" t="s">
        <v>241</v>
      </c>
      <c r="R16" t="s">
        <v>242</v>
      </c>
    </row>
    <row r="17" spans="2:18">
      <c r="B17" s="49" t="s">
        <v>243</v>
      </c>
      <c r="C17" t="s">
        <v>244</v>
      </c>
      <c r="D17" t="s">
        <v>177</v>
      </c>
      <c r="E17" t="s">
        <v>240</v>
      </c>
      <c r="G17" s="49" t="s">
        <v>245</v>
      </c>
      <c r="H17" t="s">
        <v>219</v>
      </c>
      <c r="I17" t="s">
        <v>177</v>
      </c>
      <c r="J17" t="s">
        <v>246</v>
      </c>
      <c r="L17" t="s">
        <v>245</v>
      </c>
      <c r="M17" t="s">
        <v>219</v>
      </c>
      <c r="N17" t="s">
        <v>177</v>
      </c>
      <c r="O17" t="s">
        <v>246</v>
      </c>
      <c r="Q17" t="s">
        <v>247</v>
      </c>
      <c r="R17" t="s">
        <v>248</v>
      </c>
    </row>
    <row r="18" spans="2:18">
      <c r="B18" s="49" t="s">
        <v>249</v>
      </c>
      <c r="C18" t="s">
        <v>244</v>
      </c>
      <c r="D18" t="s">
        <v>177</v>
      </c>
      <c r="E18" t="s">
        <v>240</v>
      </c>
      <c r="G18" s="49" t="s">
        <v>250</v>
      </c>
      <c r="H18" t="s">
        <v>219</v>
      </c>
      <c r="I18" t="s">
        <v>177</v>
      </c>
      <c r="J18" t="s">
        <v>246</v>
      </c>
      <c r="L18" t="s">
        <v>250</v>
      </c>
      <c r="M18" t="s">
        <v>219</v>
      </c>
      <c r="N18" t="s">
        <v>177</v>
      </c>
      <c r="O18" t="s">
        <v>246</v>
      </c>
      <c r="Q18" t="s">
        <v>251</v>
      </c>
      <c r="R18" t="s">
        <v>252</v>
      </c>
    </row>
    <row r="19" spans="2:18">
      <c r="B19" s="49" t="s">
        <v>253</v>
      </c>
      <c r="C19" t="s">
        <v>224</v>
      </c>
      <c r="D19" t="s">
        <v>177</v>
      </c>
      <c r="E19" t="s">
        <v>246</v>
      </c>
      <c r="G19" s="49" t="s">
        <v>254</v>
      </c>
      <c r="H19" t="s">
        <v>224</v>
      </c>
      <c r="I19" t="s">
        <v>177</v>
      </c>
      <c r="J19" t="s">
        <v>255</v>
      </c>
      <c r="L19" t="s">
        <v>254</v>
      </c>
      <c r="M19" t="s">
        <v>224</v>
      </c>
      <c r="N19" t="s">
        <v>177</v>
      </c>
      <c r="O19" t="s">
        <v>255</v>
      </c>
      <c r="Q19" s="49" t="s">
        <v>260</v>
      </c>
      <c r="R19" t="s">
        <v>261</v>
      </c>
    </row>
    <row r="20" spans="2:18">
      <c r="B20" s="49" t="s">
        <v>256</v>
      </c>
      <c r="C20" t="s">
        <v>224</v>
      </c>
      <c r="G20" s="49" t="s">
        <v>257</v>
      </c>
      <c r="H20" t="s">
        <v>224</v>
      </c>
      <c r="L20" t="s">
        <v>257</v>
      </c>
      <c r="M20" t="s">
        <v>224</v>
      </c>
      <c r="Q20" s="49" t="s">
        <v>268</v>
      </c>
      <c r="R20" t="s">
        <v>269</v>
      </c>
    </row>
    <row r="21" spans="2:18">
      <c r="B21" s="49" t="s">
        <v>258</v>
      </c>
      <c r="C21" t="s">
        <v>219</v>
      </c>
      <c r="D21" t="s">
        <v>177</v>
      </c>
      <c r="E21" t="s">
        <v>240</v>
      </c>
      <c r="G21" s="49" t="s">
        <v>259</v>
      </c>
      <c r="H21" t="s">
        <v>229</v>
      </c>
      <c r="I21" t="s">
        <v>177</v>
      </c>
      <c r="J21" t="s">
        <v>255</v>
      </c>
      <c r="L21" t="s">
        <v>259</v>
      </c>
      <c r="M21" t="s">
        <v>229</v>
      </c>
      <c r="N21" t="s">
        <v>177</v>
      </c>
      <c r="O21" t="s">
        <v>255</v>
      </c>
      <c r="Q21" s="49" t="s">
        <v>280</v>
      </c>
      <c r="R21" t="s">
        <v>281</v>
      </c>
    </row>
    <row r="22" spans="2:18">
      <c r="B22" s="49" t="s">
        <v>262</v>
      </c>
      <c r="D22" t="s">
        <v>177</v>
      </c>
      <c r="E22" t="s">
        <v>263</v>
      </c>
      <c r="G22" s="49" t="s">
        <v>264</v>
      </c>
      <c r="I22" t="s">
        <v>177</v>
      </c>
      <c r="J22" t="s">
        <v>265</v>
      </c>
      <c r="L22" t="s">
        <v>264</v>
      </c>
      <c r="N22" t="s">
        <v>177</v>
      </c>
      <c r="O22" t="s">
        <v>265</v>
      </c>
      <c r="Q22" s="49" t="s">
        <v>292</v>
      </c>
      <c r="R22" t="s">
        <v>293</v>
      </c>
    </row>
    <row r="23" spans="2:18">
      <c r="B23" s="49" t="s">
        <v>266</v>
      </c>
      <c r="C23" t="s">
        <v>229</v>
      </c>
      <c r="D23" t="s">
        <v>177</v>
      </c>
      <c r="E23" t="s">
        <v>263</v>
      </c>
      <c r="G23" s="49" t="s">
        <v>267</v>
      </c>
      <c r="H23" t="s">
        <v>238</v>
      </c>
      <c r="I23" t="s">
        <v>177</v>
      </c>
      <c r="J23" t="s">
        <v>265</v>
      </c>
      <c r="L23" t="s">
        <v>267</v>
      </c>
      <c r="M23" t="s">
        <v>238</v>
      </c>
      <c r="N23" t="s">
        <v>177</v>
      </c>
      <c r="O23" t="s">
        <v>265</v>
      </c>
      <c r="Q23" s="49" t="s">
        <v>299</v>
      </c>
      <c r="R23" t="s">
        <v>300</v>
      </c>
    </row>
    <row r="24" spans="2:18">
      <c r="B24" s="49" t="s">
        <v>270</v>
      </c>
      <c r="C24" t="s">
        <v>231</v>
      </c>
      <c r="D24" t="s">
        <v>177</v>
      </c>
      <c r="E24" t="s">
        <v>271</v>
      </c>
      <c r="G24" s="49" t="s">
        <v>272</v>
      </c>
      <c r="H24" t="s">
        <v>240</v>
      </c>
      <c r="I24" t="s">
        <v>177</v>
      </c>
      <c r="J24" t="s">
        <v>273</v>
      </c>
      <c r="L24" s="49" t="s">
        <v>272</v>
      </c>
      <c r="M24" t="s">
        <v>240</v>
      </c>
      <c r="N24" t="s">
        <v>177</v>
      </c>
      <c r="O24" t="s">
        <v>273</v>
      </c>
      <c r="Q24" s="49" t="s">
        <v>306</v>
      </c>
      <c r="R24" t="s">
        <v>307</v>
      </c>
    </row>
    <row r="25" spans="2:18">
      <c r="B25" s="49" t="s">
        <v>274</v>
      </c>
      <c r="C25" t="s">
        <v>238</v>
      </c>
      <c r="D25" t="s">
        <v>177</v>
      </c>
      <c r="E25" t="s">
        <v>265</v>
      </c>
      <c r="G25" s="49" t="s">
        <v>275</v>
      </c>
      <c r="H25" t="s">
        <v>246</v>
      </c>
      <c r="I25" t="s">
        <v>177</v>
      </c>
      <c r="J25" t="s">
        <v>276</v>
      </c>
      <c r="L25" t="s">
        <v>275</v>
      </c>
      <c r="M25" t="s">
        <v>246</v>
      </c>
      <c r="N25" t="s">
        <v>177</v>
      </c>
      <c r="O25" t="s">
        <v>276</v>
      </c>
      <c r="Q25" s="49" t="s">
        <v>314</v>
      </c>
      <c r="R25" t="s">
        <v>315</v>
      </c>
    </row>
    <row r="26" spans="2:18">
      <c r="B26" s="49" t="s">
        <v>277</v>
      </c>
      <c r="C26" t="s">
        <v>238</v>
      </c>
      <c r="D26" t="s">
        <v>177</v>
      </c>
      <c r="E26" t="s">
        <v>273</v>
      </c>
      <c r="G26" s="49" t="s">
        <v>278</v>
      </c>
      <c r="H26" t="s">
        <v>246</v>
      </c>
      <c r="I26" t="s">
        <v>177</v>
      </c>
      <c r="J26" t="s">
        <v>279</v>
      </c>
      <c r="L26" t="s">
        <v>278</v>
      </c>
      <c r="M26" t="s">
        <v>246</v>
      </c>
      <c r="N26" t="s">
        <v>177</v>
      </c>
      <c r="O26" t="s">
        <v>279</v>
      </c>
      <c r="Q26" s="49" t="s">
        <v>319</v>
      </c>
      <c r="R26" t="s">
        <v>320</v>
      </c>
    </row>
    <row r="27" spans="2:18">
      <c r="B27" s="49" t="s">
        <v>282</v>
      </c>
      <c r="C27" t="s">
        <v>283</v>
      </c>
      <c r="D27" t="s">
        <v>177</v>
      </c>
      <c r="E27" t="s">
        <v>284</v>
      </c>
      <c r="G27" s="49" t="s">
        <v>285</v>
      </c>
      <c r="H27" t="s">
        <v>265</v>
      </c>
      <c r="I27" t="s">
        <v>177</v>
      </c>
      <c r="J27" t="s">
        <v>286</v>
      </c>
      <c r="L27" s="49" t="s">
        <v>285</v>
      </c>
      <c r="M27" t="s">
        <v>265</v>
      </c>
      <c r="N27" t="s">
        <v>177</v>
      </c>
      <c r="O27" t="s">
        <v>286</v>
      </c>
      <c r="Q27" s="49" t="s">
        <v>325</v>
      </c>
      <c r="R27" t="s">
        <v>326</v>
      </c>
    </row>
    <row r="28" spans="2:18">
      <c r="B28" s="49" t="s">
        <v>287</v>
      </c>
      <c r="C28" t="s">
        <v>288</v>
      </c>
      <c r="D28" t="s">
        <v>177</v>
      </c>
      <c r="E28" t="s">
        <v>289</v>
      </c>
      <c r="G28" s="49" t="s">
        <v>290</v>
      </c>
      <c r="H28" t="s">
        <v>276</v>
      </c>
      <c r="I28" t="s">
        <v>177</v>
      </c>
      <c r="J28" t="s">
        <v>291</v>
      </c>
      <c r="L28" t="s">
        <v>290</v>
      </c>
      <c r="M28" t="s">
        <v>276</v>
      </c>
      <c r="N28" t="s">
        <v>177</v>
      </c>
      <c r="O28" t="s">
        <v>291</v>
      </c>
      <c r="Q28" s="49" t="s">
        <v>334</v>
      </c>
      <c r="R28" t="s">
        <v>335</v>
      </c>
    </row>
    <row r="29" spans="2:18">
      <c r="B29" s="49" t="s">
        <v>294</v>
      </c>
      <c r="C29" t="s">
        <v>295</v>
      </c>
      <c r="D29" t="s">
        <v>177</v>
      </c>
      <c r="E29" t="s">
        <v>296</v>
      </c>
      <c r="G29" s="49" t="s">
        <v>297</v>
      </c>
      <c r="H29" t="s">
        <v>279</v>
      </c>
      <c r="I29" t="s">
        <v>177</v>
      </c>
      <c r="J29" t="s">
        <v>298</v>
      </c>
      <c r="L29" t="s">
        <v>297</v>
      </c>
      <c r="M29" t="s">
        <v>279</v>
      </c>
      <c r="N29" t="s">
        <v>177</v>
      </c>
      <c r="O29" t="s">
        <v>298</v>
      </c>
      <c r="Q29" s="49" t="s">
        <v>340</v>
      </c>
      <c r="R29" t="s">
        <v>341</v>
      </c>
    </row>
    <row r="30" spans="2:15">
      <c r="B30" s="49" t="s">
        <v>301</v>
      </c>
      <c r="C30" t="s">
        <v>284</v>
      </c>
      <c r="D30" t="s">
        <v>177</v>
      </c>
      <c r="E30" t="s">
        <v>302</v>
      </c>
      <c r="G30" s="49" t="s">
        <v>303</v>
      </c>
      <c r="H30" t="s">
        <v>304</v>
      </c>
      <c r="I30" t="s">
        <v>177</v>
      </c>
      <c r="J30" t="s">
        <v>305</v>
      </c>
      <c r="L30" t="s">
        <v>303</v>
      </c>
      <c r="M30" t="s">
        <v>304</v>
      </c>
      <c r="N30" t="s">
        <v>177</v>
      </c>
      <c r="O30" t="s">
        <v>305</v>
      </c>
    </row>
    <row r="31" spans="2:15">
      <c r="B31" s="49" t="s">
        <v>308</v>
      </c>
      <c r="C31" t="s">
        <v>289</v>
      </c>
      <c r="D31" t="s">
        <v>177</v>
      </c>
      <c r="E31" t="s">
        <v>309</v>
      </c>
      <c r="G31" s="49" t="s">
        <v>310</v>
      </c>
      <c r="H31" t="s">
        <v>289</v>
      </c>
      <c r="I31" t="s">
        <v>177</v>
      </c>
      <c r="J31" t="s">
        <v>311</v>
      </c>
      <c r="L31" t="s">
        <v>310</v>
      </c>
      <c r="M31" t="s">
        <v>289</v>
      </c>
      <c r="N31" t="s">
        <v>177</v>
      </c>
      <c r="O31" t="s">
        <v>311</v>
      </c>
    </row>
    <row r="32" spans="2:13">
      <c r="B32" s="49" t="s">
        <v>312</v>
      </c>
      <c r="C32" t="s">
        <v>242</v>
      </c>
      <c r="G32" s="49" t="s">
        <v>313</v>
      </c>
      <c r="H32" t="s">
        <v>242</v>
      </c>
      <c r="L32" t="s">
        <v>313</v>
      </c>
      <c r="M32" t="s">
        <v>242</v>
      </c>
    </row>
    <row r="33" spans="2:13">
      <c r="B33" s="49" t="s">
        <v>316</v>
      </c>
      <c r="C33" t="s">
        <v>317</v>
      </c>
      <c r="G33" s="49" t="s">
        <v>318</v>
      </c>
      <c r="H33" t="s">
        <v>261</v>
      </c>
      <c r="L33" t="s">
        <v>318</v>
      </c>
      <c r="M33" t="s">
        <v>261</v>
      </c>
    </row>
    <row r="34" spans="2:15">
      <c r="B34" s="49" t="s">
        <v>321</v>
      </c>
      <c r="C34" t="s">
        <v>269</v>
      </c>
      <c r="D34" t="s">
        <v>177</v>
      </c>
      <c r="E34" t="s">
        <v>281</v>
      </c>
      <c r="G34" s="49" t="s">
        <v>322</v>
      </c>
      <c r="H34" t="s">
        <v>323</v>
      </c>
      <c r="I34" t="s">
        <v>177</v>
      </c>
      <c r="J34" t="s">
        <v>324</v>
      </c>
      <c r="L34" t="s">
        <v>322</v>
      </c>
      <c r="M34" t="s">
        <v>323</v>
      </c>
      <c r="N34" t="s">
        <v>177</v>
      </c>
      <c r="O34" t="s">
        <v>324</v>
      </c>
    </row>
    <row r="35" spans="2:13">
      <c r="B35" s="49" t="s">
        <v>327</v>
      </c>
      <c r="C35" t="s">
        <v>328</v>
      </c>
      <c r="G35" s="49" t="s">
        <v>329</v>
      </c>
      <c r="H35" t="s">
        <v>330</v>
      </c>
      <c r="L35" s="49" t="s">
        <v>329</v>
      </c>
      <c r="M35" t="s">
        <v>330</v>
      </c>
    </row>
    <row r="36" spans="2:13">
      <c r="B36" s="49" t="s">
        <v>331</v>
      </c>
      <c r="C36" t="s">
        <v>315</v>
      </c>
      <c r="G36" s="49" t="s">
        <v>332</v>
      </c>
      <c r="H36" t="s">
        <v>333</v>
      </c>
      <c r="L36" t="s">
        <v>332</v>
      </c>
      <c r="M36" t="s">
        <v>333</v>
      </c>
    </row>
    <row r="37" spans="2:13">
      <c r="B37" s="49" t="s">
        <v>336</v>
      </c>
      <c r="C37" t="s">
        <v>337</v>
      </c>
      <c r="G37" s="49" t="s">
        <v>338</v>
      </c>
      <c r="H37" t="s">
        <v>339</v>
      </c>
      <c r="L37" t="s">
        <v>338</v>
      </c>
      <c r="M37" t="s">
        <v>339</v>
      </c>
    </row>
    <row r="38" spans="2:2">
      <c r="B38" s="48"/>
    </row>
    <row r="40" spans="2:2">
      <c r="B40" s="48" t="s">
        <v>344</v>
      </c>
    </row>
    <row r="41" spans="2:3">
      <c r="B41" s="48"/>
      <c r="C41" t="s">
        <v>345</v>
      </c>
    </row>
    <row r="42" spans="2:3">
      <c r="B42" s="48"/>
      <c r="C42" t="s">
        <v>346</v>
      </c>
    </row>
    <row r="43" spans="2:2">
      <c r="B43" s="48"/>
    </row>
    <row r="44" spans="2:2">
      <c r="B44" s="48"/>
    </row>
    <row r="45" spans="2:2">
      <c r="B45" s="51"/>
    </row>
  </sheetData>
  <mergeCells count="5">
    <mergeCell ref="A1:R1"/>
    <mergeCell ref="A2:R2"/>
    <mergeCell ref="C3:E3"/>
    <mergeCell ref="G3:I3"/>
    <mergeCell ref="B40:B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0"/>
  <sheetViews>
    <sheetView topLeftCell="I1" workbookViewId="0">
      <selection activeCell="J30" sqref="J30"/>
    </sheetView>
  </sheetViews>
  <sheetFormatPr defaultColWidth="9" defaultRowHeight="13.5"/>
  <cols>
    <col min="1" max="12" width="9" style="29"/>
    <col min="13" max="13" width="12.625" style="29"/>
    <col min="14" max="16384" width="9" style="29"/>
  </cols>
  <sheetData>
    <row r="1" spans="1:14">
      <c r="A1" s="12"/>
      <c r="B1" s="12"/>
      <c r="C1" s="12"/>
      <c r="D1" s="12" t="s">
        <v>347</v>
      </c>
      <c r="E1" s="12" t="s">
        <v>348</v>
      </c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/>
      <c r="B2" s="30">
        <f>(铁盖纸筒核价表!C6*3.14+1)*10</f>
        <v>487.28</v>
      </c>
      <c r="C2" s="30">
        <f>铁盖纸筒核价表!D6*10+10</f>
        <v>320</v>
      </c>
      <c r="D2" s="31">
        <f>B2</f>
        <v>487.28</v>
      </c>
      <c r="E2" s="30">
        <f>C2</f>
        <v>320</v>
      </c>
      <c r="F2" s="30"/>
      <c r="G2" s="12"/>
      <c r="H2" s="12"/>
      <c r="I2" s="12"/>
      <c r="J2" s="12"/>
      <c r="K2" s="12"/>
      <c r="L2" s="12"/>
      <c r="M2" s="12"/>
      <c r="N2" s="12"/>
    </row>
    <row r="3" spans="1:14">
      <c r="A3" s="12"/>
      <c r="B3" s="12">
        <v>1192</v>
      </c>
      <c r="C3" s="12">
        <v>889</v>
      </c>
      <c r="D3" s="12"/>
      <c r="E3" s="12">
        <f>B3*C3</f>
        <v>1059688</v>
      </c>
      <c r="F3" s="12"/>
      <c r="G3" s="12"/>
      <c r="H3" s="12"/>
      <c r="I3" s="12"/>
      <c r="J3" s="12"/>
      <c r="K3" s="12"/>
      <c r="L3" s="12"/>
      <c r="M3" s="12"/>
      <c r="N3" s="12"/>
    </row>
    <row r="4" spans="1:14">
      <c r="A4" s="12"/>
      <c r="B4" s="12">
        <v>1089</v>
      </c>
      <c r="C4" s="12">
        <v>787</v>
      </c>
      <c r="D4" s="12"/>
      <c r="E4" s="12">
        <f>B4*C4</f>
        <v>857043</v>
      </c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12"/>
      <c r="B8" s="13">
        <v>1</v>
      </c>
      <c r="C8" s="14">
        <f>TRUNC(B3/D2)</f>
        <v>2</v>
      </c>
      <c r="D8" s="12"/>
      <c r="E8" s="15">
        <f>B3-D2*C8</f>
        <v>217.44</v>
      </c>
      <c r="F8" s="15">
        <f>TRUNC(IF(E8&gt;E2,C3/D2,0))</f>
        <v>0</v>
      </c>
      <c r="G8" s="12"/>
      <c r="H8" s="12"/>
      <c r="I8" s="12"/>
      <c r="J8" s="12"/>
      <c r="K8" s="12"/>
      <c r="L8" s="12"/>
      <c r="M8" s="12"/>
      <c r="N8" s="12"/>
    </row>
    <row r="9" spans="1:14">
      <c r="A9" s="12"/>
      <c r="B9" s="14">
        <v>2</v>
      </c>
      <c r="C9" s="14">
        <f>TRUNC(C3/E2)</f>
        <v>2</v>
      </c>
      <c r="D9" s="12"/>
      <c r="E9" s="15">
        <f>C3-E2*C9</f>
        <v>249</v>
      </c>
      <c r="F9" s="15">
        <f>TRUNC(IF(E9&gt;D2,B3/E2,0))</f>
        <v>0</v>
      </c>
      <c r="G9" s="12"/>
      <c r="H9" s="12"/>
      <c r="I9" s="12"/>
      <c r="J9" s="12"/>
      <c r="K9" s="12"/>
      <c r="L9" s="12"/>
      <c r="M9" s="12"/>
      <c r="N9" s="12"/>
    </row>
    <row r="10" spans="1:14">
      <c r="A10" s="12"/>
      <c r="B10" s="14">
        <v>3</v>
      </c>
      <c r="C10" s="16">
        <f>C9*C8+F8+F9</f>
        <v>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12"/>
      <c r="B11" s="14">
        <v>4</v>
      </c>
      <c r="C11" s="14">
        <f>TRUNC(C3/D2)</f>
        <v>1</v>
      </c>
      <c r="D11" s="12"/>
      <c r="E11" s="15">
        <f>C3-D2*C11</f>
        <v>401.72</v>
      </c>
      <c r="F11" s="15">
        <f>TRUNC(IF(E11&gt;E2,B3/D2,0))</f>
        <v>2</v>
      </c>
      <c r="G11" s="17">
        <f>MAX(C10,C13)</f>
        <v>5</v>
      </c>
      <c r="H11" s="12"/>
      <c r="I11" s="26">
        <f>E3/G11</f>
        <v>211937.6</v>
      </c>
      <c r="J11" s="12"/>
      <c r="K11" s="12"/>
      <c r="L11" s="12"/>
      <c r="M11" s="12"/>
      <c r="N11" s="12"/>
    </row>
    <row r="12" spans="1:14">
      <c r="A12" s="12"/>
      <c r="B12" s="13">
        <v>5</v>
      </c>
      <c r="C12" s="14">
        <f>TRUNC(B3/E2)</f>
        <v>3</v>
      </c>
      <c r="D12" s="12"/>
      <c r="E12" s="15">
        <f>B3-E2*C12</f>
        <v>232</v>
      </c>
      <c r="F12" s="15">
        <f>TRUNC(IF(E12&gt;D2,C3/E2,0))</f>
        <v>0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4">
        <v>6</v>
      </c>
      <c r="C13" s="18">
        <f>C11*C12+F11+F12</f>
        <v>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35" t="str">
        <f>IF(I19&lt;I11,"正","大")</f>
        <v>大</v>
      </c>
      <c r="L15" s="12">
        <f>IF(I19&lt;I11,G19,G11)</f>
        <v>5</v>
      </c>
      <c r="M15" s="12">
        <f>K16/L15</f>
        <v>0.22</v>
      </c>
      <c r="N15" s="12"/>
    </row>
    <row r="16" spans="1:14">
      <c r="A16" s="12"/>
      <c r="B16" s="19">
        <v>1</v>
      </c>
      <c r="C16" s="19">
        <f>TRUNC(B4/D2)</f>
        <v>2</v>
      </c>
      <c r="D16" s="12"/>
      <c r="E16" s="15">
        <f>B4-D2*C16</f>
        <v>114.44</v>
      </c>
      <c r="F16" s="15">
        <f>TRUNC(IF(E16&gt;E2,C4/D2,0))</f>
        <v>0</v>
      </c>
      <c r="G16" s="12"/>
      <c r="H16" s="12"/>
      <c r="I16" s="12"/>
      <c r="J16" s="12"/>
      <c r="K16" s="12">
        <f>IF(I19&gt;I11,1.1,0.9)</f>
        <v>1.1</v>
      </c>
      <c r="L16" s="12"/>
      <c r="M16" s="12"/>
      <c r="N16" s="12"/>
    </row>
    <row r="17" spans="1:14">
      <c r="A17" s="12"/>
      <c r="B17" s="19">
        <v>2</v>
      </c>
      <c r="C17" s="19">
        <f>TRUNC(C4/E2)</f>
        <v>2</v>
      </c>
      <c r="D17" s="12"/>
      <c r="E17" s="15">
        <f>C4-E2*C17</f>
        <v>147</v>
      </c>
      <c r="F17" s="15">
        <f>TRUNC(IF(E17&gt;D2,B4/E2,0))</f>
        <v>0</v>
      </c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9">
        <v>3</v>
      </c>
      <c r="C18" s="20">
        <f>C17*C16+F16+F17</f>
        <v>4</v>
      </c>
      <c r="D18" s="12"/>
      <c r="E18" s="21"/>
      <c r="F18" s="21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9">
        <v>4</v>
      </c>
      <c r="C19" s="19">
        <f>TRUNC(C4/D2)</f>
        <v>1</v>
      </c>
      <c r="D19" s="12"/>
      <c r="E19" s="15">
        <f>C4-D2*C19</f>
        <v>299.72</v>
      </c>
      <c r="F19" s="15">
        <f>TRUNC(IF(E19&gt;E2,B4/D2,0))</f>
        <v>0</v>
      </c>
      <c r="G19" s="17">
        <f>MAX(C18,C21)</f>
        <v>4</v>
      </c>
      <c r="H19" s="12"/>
      <c r="I19" s="26">
        <f>E4/G19</f>
        <v>214260.75</v>
      </c>
      <c r="J19" s="12"/>
      <c r="K19" s="12"/>
      <c r="L19" s="12"/>
      <c r="M19" s="12"/>
      <c r="N19" s="12"/>
    </row>
    <row r="20" spans="1:14">
      <c r="A20" s="12"/>
      <c r="B20" s="19">
        <v>5</v>
      </c>
      <c r="C20" s="19">
        <f>TRUNC(B4/E2)</f>
        <v>3</v>
      </c>
      <c r="D20" s="12"/>
      <c r="E20" s="15">
        <f>B4-E2*C20</f>
        <v>129</v>
      </c>
      <c r="F20" s="15">
        <f>TRUNC(IF(E20&gt;D2,C4/E2,0))</f>
        <v>0</v>
      </c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9">
        <v>6</v>
      </c>
      <c r="C21" s="20">
        <f>C19*C20+F20+F19</f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3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>
      <c r="A25" s="12"/>
      <c r="B25" s="12"/>
      <c r="C25" s="12"/>
      <c r="D25" s="12" t="s">
        <v>347</v>
      </c>
      <c r="E25" s="12" t="s">
        <v>348</v>
      </c>
      <c r="F25" s="12"/>
      <c r="G25" s="12"/>
      <c r="H25" s="12"/>
      <c r="I25" s="12"/>
      <c r="J25" s="12"/>
      <c r="K25" s="12"/>
      <c r="L25" s="12"/>
      <c r="M25" s="12"/>
      <c r="N25" s="12"/>
      <c r="Q25" s="12"/>
      <c r="R25" s="12"/>
      <c r="S25" s="12"/>
      <c r="T25" s="12" t="s">
        <v>347</v>
      </c>
      <c r="U25" s="12" t="s">
        <v>348</v>
      </c>
      <c r="V25" s="12"/>
      <c r="W25" s="12"/>
      <c r="X25" s="12"/>
      <c r="Y25" s="12"/>
      <c r="Z25" s="12"/>
      <c r="AA25" s="12"/>
      <c r="AB25" s="12"/>
      <c r="AC25" s="12"/>
      <c r="AD25" s="12"/>
    </row>
    <row r="26" spans="1:30">
      <c r="A26" s="12"/>
      <c r="B26" s="30">
        <f>全纸筒核价表!F9*10</f>
        <v>300</v>
      </c>
      <c r="C26" s="30">
        <f>全纸筒核价表!G9*10</f>
        <v>360</v>
      </c>
      <c r="D26" s="31">
        <f>B26</f>
        <v>300</v>
      </c>
      <c r="E26" s="30">
        <f>C26</f>
        <v>360</v>
      </c>
      <c r="F26" s="30"/>
      <c r="G26" s="12"/>
      <c r="H26" s="12"/>
      <c r="I26" s="12"/>
      <c r="J26" s="12"/>
      <c r="K26" s="12"/>
      <c r="L26" s="12"/>
      <c r="M26" s="12"/>
      <c r="N26" s="12"/>
      <c r="Q26" s="12"/>
      <c r="R26" s="30">
        <f>全纸筒核价表!F39*10</f>
        <v>340</v>
      </c>
      <c r="S26" s="30">
        <f>全纸筒核价表!G39*10</f>
        <v>270</v>
      </c>
      <c r="T26" s="31">
        <f>R26</f>
        <v>340</v>
      </c>
      <c r="U26" s="30">
        <f>S26</f>
        <v>270</v>
      </c>
      <c r="V26" s="30"/>
      <c r="W26" s="12"/>
      <c r="X26" s="12"/>
      <c r="Y26" s="12"/>
      <c r="Z26" s="12"/>
      <c r="AA26" s="12"/>
      <c r="AB26" s="12"/>
      <c r="AC26" s="12"/>
      <c r="AD26" s="12"/>
    </row>
    <row r="27" spans="1:30">
      <c r="A27" s="12"/>
      <c r="B27" s="12">
        <v>1192</v>
      </c>
      <c r="C27" s="12">
        <v>889</v>
      </c>
      <c r="D27" s="12"/>
      <c r="E27" s="12">
        <f>B27*C27</f>
        <v>1059688</v>
      </c>
      <c r="F27" s="12"/>
      <c r="G27" s="12"/>
      <c r="H27" s="12"/>
      <c r="I27" s="12"/>
      <c r="J27" s="12"/>
      <c r="K27" s="12"/>
      <c r="L27" s="12"/>
      <c r="M27" s="12"/>
      <c r="N27" s="36"/>
      <c r="Q27" s="12"/>
      <c r="R27" s="12">
        <v>1192</v>
      </c>
      <c r="S27" s="12">
        <v>889</v>
      </c>
      <c r="T27" s="12"/>
      <c r="U27" s="12">
        <f>R27*S27</f>
        <v>1059688</v>
      </c>
      <c r="V27" s="12"/>
      <c r="W27" s="12"/>
      <c r="X27" s="12"/>
      <c r="Y27" s="12"/>
      <c r="Z27" s="12"/>
      <c r="AA27" s="12"/>
      <c r="AB27" s="12"/>
      <c r="AC27" s="12"/>
      <c r="AD27" s="36"/>
    </row>
    <row r="28" spans="1:30">
      <c r="A28" s="12"/>
      <c r="B28" s="12">
        <v>1089</v>
      </c>
      <c r="C28" s="12">
        <v>787</v>
      </c>
      <c r="D28" s="12"/>
      <c r="E28" s="12">
        <f>B28*C28</f>
        <v>857043</v>
      </c>
      <c r="F28" s="12"/>
      <c r="G28" s="12"/>
      <c r="H28" s="12"/>
      <c r="I28" s="12"/>
      <c r="J28" s="12"/>
      <c r="K28" s="12"/>
      <c r="L28" s="12"/>
      <c r="M28" s="12"/>
      <c r="N28" s="36"/>
      <c r="Q28" s="12"/>
      <c r="R28" s="12">
        <v>1089</v>
      </c>
      <c r="S28" s="12">
        <v>787</v>
      </c>
      <c r="T28" s="12"/>
      <c r="U28" s="12">
        <f>R28*S28</f>
        <v>857043</v>
      </c>
      <c r="V28" s="12"/>
      <c r="W28" s="12"/>
      <c r="X28" s="12"/>
      <c r="Y28" s="12"/>
      <c r="Z28" s="12"/>
      <c r="AA28" s="12"/>
      <c r="AB28" s="12"/>
      <c r="AC28" s="12"/>
      <c r="AD28" s="36"/>
    </row>
    <row r="29" spans="1:3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3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36"/>
    </row>
    <row r="30" spans="1: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3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36"/>
    </row>
    <row r="31" spans="1:3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3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36"/>
    </row>
    <row r="32" spans="1:30">
      <c r="A32" s="12"/>
      <c r="B32" s="13">
        <v>1</v>
      </c>
      <c r="C32" s="14">
        <f>TRUNC(B27/D26)</f>
        <v>3</v>
      </c>
      <c r="D32" s="12"/>
      <c r="E32" s="15">
        <f>B27-D26*C32</f>
        <v>292</v>
      </c>
      <c r="F32" s="15">
        <f>TRUNC(IF(E32&gt;E26,C27/D26,0))</f>
        <v>0</v>
      </c>
      <c r="G32" s="12"/>
      <c r="H32" s="12"/>
      <c r="I32" s="12"/>
      <c r="J32" s="12"/>
      <c r="K32" s="12"/>
      <c r="L32" s="12"/>
      <c r="M32" s="12"/>
      <c r="N32" s="36"/>
      <c r="Q32" s="12"/>
      <c r="R32" s="13">
        <v>1</v>
      </c>
      <c r="S32" s="14">
        <f>TRUNC(R27/T26)</f>
        <v>3</v>
      </c>
      <c r="T32" s="12"/>
      <c r="U32" s="15">
        <f>R27-T26*S32</f>
        <v>172</v>
      </c>
      <c r="V32" s="15">
        <f>TRUNC(IF(U32&gt;U26,S27/T26,0))</f>
        <v>0</v>
      </c>
      <c r="W32" s="12"/>
      <c r="X32" s="12"/>
      <c r="Y32" s="12"/>
      <c r="Z32" s="12"/>
      <c r="AA32" s="12"/>
      <c r="AB32" s="12"/>
      <c r="AC32" s="12"/>
      <c r="AD32" s="36"/>
    </row>
    <row r="33" spans="1:30">
      <c r="A33" s="12"/>
      <c r="B33" s="14">
        <v>2</v>
      </c>
      <c r="C33" s="14">
        <f>TRUNC(C27/E26)</f>
        <v>2</v>
      </c>
      <c r="D33" s="12"/>
      <c r="E33" s="15">
        <f>C27-E26*C33</f>
        <v>169</v>
      </c>
      <c r="F33" s="15">
        <f>TRUNC(IF(E33&gt;D26,B27/E26,0))</f>
        <v>0</v>
      </c>
      <c r="G33" s="12"/>
      <c r="H33" s="12"/>
      <c r="I33" s="12"/>
      <c r="J33" s="12"/>
      <c r="K33" s="12"/>
      <c r="L33" s="12"/>
      <c r="M33" s="12"/>
      <c r="N33" s="36"/>
      <c r="Q33" s="12"/>
      <c r="R33" s="14">
        <v>2</v>
      </c>
      <c r="S33" s="14">
        <f>TRUNC(S27/U26)</f>
        <v>3</v>
      </c>
      <c r="T33" s="12"/>
      <c r="U33" s="15">
        <f>S27-U26*S33</f>
        <v>79</v>
      </c>
      <c r="V33" s="15">
        <f>TRUNC(IF(U33&gt;T26,R27/U26,0))</f>
        <v>0</v>
      </c>
      <c r="W33" s="12"/>
      <c r="X33" s="12"/>
      <c r="Y33" s="12"/>
      <c r="Z33" s="12"/>
      <c r="AA33" s="12"/>
      <c r="AB33" s="12"/>
      <c r="AC33" s="12"/>
      <c r="AD33" s="36"/>
    </row>
    <row r="34" spans="1:30">
      <c r="A34" s="12"/>
      <c r="B34" s="14">
        <v>3</v>
      </c>
      <c r="C34" s="16">
        <f>C33*C32+F32+F33</f>
        <v>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36"/>
      <c r="Q34" s="12"/>
      <c r="R34" s="14">
        <v>3</v>
      </c>
      <c r="S34" s="16">
        <f>S33*S32+V32+V33</f>
        <v>9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36"/>
    </row>
    <row r="35" spans="1:30">
      <c r="A35" s="12"/>
      <c r="B35" s="14">
        <v>4</v>
      </c>
      <c r="C35" s="14">
        <f>TRUNC(C27/D26)</f>
        <v>2</v>
      </c>
      <c r="D35" s="12"/>
      <c r="E35" s="15">
        <f>C27-D26*C35</f>
        <v>289</v>
      </c>
      <c r="F35" s="15">
        <f>TRUNC(IF(E35&gt;E26,B27/D26,0))</f>
        <v>0</v>
      </c>
      <c r="G35" s="17">
        <f>MAX(C34,C37)</f>
        <v>6</v>
      </c>
      <c r="H35" s="12"/>
      <c r="I35" s="26">
        <f>E27/G35</f>
        <v>176614.666666667</v>
      </c>
      <c r="J35" s="12"/>
      <c r="K35" s="12"/>
      <c r="L35" s="12"/>
      <c r="M35" s="12"/>
      <c r="N35" s="36"/>
      <c r="Q35" s="12"/>
      <c r="R35" s="14">
        <v>4</v>
      </c>
      <c r="S35" s="14">
        <f>TRUNC(S27/T26)</f>
        <v>2</v>
      </c>
      <c r="T35" s="12"/>
      <c r="U35" s="15">
        <f>S27-T26*S35</f>
        <v>209</v>
      </c>
      <c r="V35" s="15">
        <f>TRUNC(IF(U35&gt;U26,R27/T26,0))</f>
        <v>0</v>
      </c>
      <c r="W35" s="17">
        <f>MAX(S34,S37)</f>
        <v>9</v>
      </c>
      <c r="X35" s="12"/>
      <c r="Y35" s="26">
        <f>U27/W35</f>
        <v>117743.111111111</v>
      </c>
      <c r="Z35" s="12"/>
      <c r="AA35" s="12"/>
      <c r="AB35" s="12"/>
      <c r="AC35" s="12"/>
      <c r="AD35" s="36"/>
    </row>
    <row r="36" spans="1:30">
      <c r="A36" s="12"/>
      <c r="B36" s="13">
        <v>5</v>
      </c>
      <c r="C36" s="14">
        <f>TRUNC(B27/E26)</f>
        <v>3</v>
      </c>
      <c r="D36" s="12"/>
      <c r="E36" s="15">
        <f>B27-E26*C36</f>
        <v>112</v>
      </c>
      <c r="F36" s="15">
        <f>TRUNC(IF(E36&gt;D26,C27/E26,0))</f>
        <v>0</v>
      </c>
      <c r="G36" s="12"/>
      <c r="H36" s="12"/>
      <c r="I36" s="12"/>
      <c r="J36" s="12"/>
      <c r="K36" s="12"/>
      <c r="L36" s="12"/>
      <c r="M36" s="12"/>
      <c r="N36" s="36"/>
      <c r="Q36" s="12"/>
      <c r="R36" s="13">
        <v>5</v>
      </c>
      <c r="S36" s="14">
        <f>TRUNC(R27/U26)</f>
        <v>4</v>
      </c>
      <c r="T36" s="12"/>
      <c r="U36" s="15">
        <f>R27-U26*S36</f>
        <v>112</v>
      </c>
      <c r="V36" s="15">
        <f>TRUNC(IF(U36&gt;T26,S27/U26,0))</f>
        <v>0</v>
      </c>
      <c r="W36" s="12"/>
      <c r="X36" s="12"/>
      <c r="Y36" s="12"/>
      <c r="Z36" s="12"/>
      <c r="AA36" s="12"/>
      <c r="AB36" s="12"/>
      <c r="AC36" s="12"/>
      <c r="AD36" s="36"/>
    </row>
    <row r="37" spans="1:30">
      <c r="A37" s="12"/>
      <c r="B37" s="14">
        <v>6</v>
      </c>
      <c r="C37" s="18">
        <f>C35*C36+F35+F36</f>
        <v>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6"/>
      <c r="Q37" s="12"/>
      <c r="R37" s="14">
        <v>6</v>
      </c>
      <c r="S37" s="18">
        <f>S35*S36+V35+V36</f>
        <v>8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36"/>
    </row>
    <row r="38" spans="1:3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3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36"/>
    </row>
    <row r="39" spans="1:3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35" t="str">
        <f>IF(I43&lt;I35,"正规","大规")</f>
        <v>正规</v>
      </c>
      <c r="L39" s="12">
        <f>IF(I43&lt;I35,G43,G35)</f>
        <v>6</v>
      </c>
      <c r="M39" s="12">
        <f>K40/L39</f>
        <v>0.15</v>
      </c>
      <c r="N39" s="36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35" t="str">
        <f>IF(Y43&lt;Y35,"正规","大规")</f>
        <v>正规</v>
      </c>
      <c r="AB39" s="12">
        <f>IF(Y43&lt;Y35,W43,W35)</f>
        <v>8</v>
      </c>
      <c r="AC39" s="12">
        <f>AA40/AB39</f>
        <v>0.1125</v>
      </c>
      <c r="AD39" s="36"/>
    </row>
    <row r="40" spans="1:30">
      <c r="A40" s="12"/>
      <c r="B40" s="19">
        <v>1</v>
      </c>
      <c r="C40" s="19">
        <f>TRUNC(B28/D26)</f>
        <v>3</v>
      </c>
      <c r="D40" s="12"/>
      <c r="E40" s="15">
        <f>B28-D26*C40</f>
        <v>189</v>
      </c>
      <c r="F40" s="15">
        <f>TRUNC(IF(E40&gt;E26,C28/D26,0))</f>
        <v>0</v>
      </c>
      <c r="G40" s="12"/>
      <c r="H40" s="12"/>
      <c r="I40" s="12"/>
      <c r="J40" s="12"/>
      <c r="K40" s="12">
        <f>IF(I43&gt;I35,全纸筒核价表!J9,全纸筒核价表!K9)</f>
        <v>0.9</v>
      </c>
      <c r="L40" s="12"/>
      <c r="M40" s="12"/>
      <c r="N40" s="36"/>
      <c r="Q40" s="12"/>
      <c r="R40" s="19">
        <v>1</v>
      </c>
      <c r="S40" s="19">
        <f>TRUNC(R28/T26)</f>
        <v>3</v>
      </c>
      <c r="T40" s="12"/>
      <c r="U40" s="15">
        <f>R28-T26*S40</f>
        <v>69</v>
      </c>
      <c r="V40" s="15">
        <f>TRUNC(IF(U40&gt;U26,S28/T26,0))</f>
        <v>0</v>
      </c>
      <c r="W40" s="12"/>
      <c r="X40" s="12"/>
      <c r="Y40" s="12"/>
      <c r="Z40" s="12"/>
      <c r="AA40" s="12">
        <f>IF(Y43&gt;Y35,全纸筒核价表!J39,全纸筒核价表!K39)</f>
        <v>0.9</v>
      </c>
      <c r="AB40" s="12"/>
      <c r="AC40" s="12"/>
      <c r="AD40" s="36"/>
    </row>
    <row r="41" spans="1:30">
      <c r="A41" s="12"/>
      <c r="B41" s="19">
        <v>2</v>
      </c>
      <c r="C41" s="19">
        <f>TRUNC(C28/E26)</f>
        <v>2</v>
      </c>
      <c r="D41" s="12"/>
      <c r="E41" s="15">
        <f>C28-E26*C41</f>
        <v>67</v>
      </c>
      <c r="F41" s="15">
        <f>TRUNC(IF(E41&gt;D26,B28/E26,0))</f>
        <v>0</v>
      </c>
      <c r="G41" s="12"/>
      <c r="H41" s="12"/>
      <c r="I41" s="12"/>
      <c r="J41" s="12"/>
      <c r="K41" s="12"/>
      <c r="L41" s="12"/>
      <c r="M41" s="12"/>
      <c r="N41" s="36"/>
      <c r="Q41" s="12"/>
      <c r="R41" s="19">
        <v>2</v>
      </c>
      <c r="S41" s="19">
        <f>TRUNC(S28/U26)</f>
        <v>2</v>
      </c>
      <c r="T41" s="12"/>
      <c r="U41" s="15">
        <f>S28-U26*S41</f>
        <v>247</v>
      </c>
      <c r="V41" s="15">
        <f>TRUNC(IF(U41&gt;T26,R28/U26,0))</f>
        <v>0</v>
      </c>
      <c r="W41" s="12"/>
      <c r="X41" s="12"/>
      <c r="Y41" s="12"/>
      <c r="Z41" s="12"/>
      <c r="AA41" s="12"/>
      <c r="AB41" s="12"/>
      <c r="AC41" s="12"/>
      <c r="AD41" s="36"/>
    </row>
    <row r="42" spans="1:30">
      <c r="A42" s="12"/>
      <c r="B42" s="19">
        <v>3</v>
      </c>
      <c r="C42" s="20">
        <f>C41*C40+F40+F41</f>
        <v>6</v>
      </c>
      <c r="D42" s="12"/>
      <c r="E42" s="21"/>
      <c r="F42" s="21"/>
      <c r="G42" s="12"/>
      <c r="H42" s="12"/>
      <c r="I42" s="12"/>
      <c r="J42" s="12"/>
      <c r="K42" s="12"/>
      <c r="L42" s="12"/>
      <c r="M42" s="12"/>
      <c r="N42" s="36"/>
      <c r="Q42" s="12"/>
      <c r="R42" s="19">
        <v>3</v>
      </c>
      <c r="S42" s="20">
        <f>S41*S40+V40+V41</f>
        <v>6</v>
      </c>
      <c r="T42" s="12"/>
      <c r="U42" s="21"/>
      <c r="V42" s="21"/>
      <c r="W42" s="12"/>
      <c r="X42" s="12"/>
      <c r="Y42" s="12"/>
      <c r="Z42" s="12"/>
      <c r="AA42" s="12"/>
      <c r="AB42" s="12"/>
      <c r="AC42" s="12"/>
      <c r="AD42" s="36"/>
    </row>
    <row r="43" spans="1:30">
      <c r="A43" s="12"/>
      <c r="B43" s="19">
        <v>4</v>
      </c>
      <c r="C43" s="19">
        <f>TRUNC(C28/D26)</f>
        <v>2</v>
      </c>
      <c r="D43" s="12"/>
      <c r="E43" s="15">
        <f>C28-D26*C43</f>
        <v>187</v>
      </c>
      <c r="F43" s="15">
        <f>TRUNC(IF(E43&gt;E26,B28/D26,0))</f>
        <v>0</v>
      </c>
      <c r="G43" s="17">
        <f>MAX(C42,C45)</f>
        <v>6</v>
      </c>
      <c r="H43" s="12"/>
      <c r="I43" s="26">
        <f>E28/G43</f>
        <v>142840.5</v>
      </c>
      <c r="J43" s="12"/>
      <c r="K43" s="12"/>
      <c r="L43" s="12"/>
      <c r="M43" s="12"/>
      <c r="N43" s="36"/>
      <c r="Q43" s="12"/>
      <c r="R43" s="19">
        <v>4</v>
      </c>
      <c r="S43" s="19">
        <f>TRUNC(S28/T26)</f>
        <v>2</v>
      </c>
      <c r="T43" s="12"/>
      <c r="U43" s="15">
        <f>S28-T26*S43</f>
        <v>107</v>
      </c>
      <c r="V43" s="15">
        <f>TRUNC(IF(U43&gt;U26,R28/T26,0))</f>
        <v>0</v>
      </c>
      <c r="W43" s="17">
        <f>MAX(S42,S45)</f>
        <v>8</v>
      </c>
      <c r="X43" s="12"/>
      <c r="Y43" s="26">
        <f>U28/W43</f>
        <v>107130.375</v>
      </c>
      <c r="Z43" s="12"/>
      <c r="AA43" s="12"/>
      <c r="AB43" s="12"/>
      <c r="AC43" s="12"/>
      <c r="AD43" s="36"/>
    </row>
    <row r="44" spans="1:30">
      <c r="A44" s="12"/>
      <c r="B44" s="19">
        <v>5</v>
      </c>
      <c r="C44" s="19">
        <f>TRUNC(B28/E26)</f>
        <v>3</v>
      </c>
      <c r="D44" s="12"/>
      <c r="E44" s="15">
        <f>B28-E26*C44</f>
        <v>9</v>
      </c>
      <c r="F44" s="15">
        <f>TRUNC(IF(E44&gt;D26,C28/E26,0))</f>
        <v>0</v>
      </c>
      <c r="G44" s="12"/>
      <c r="H44" s="12"/>
      <c r="I44" s="12"/>
      <c r="J44" s="12"/>
      <c r="K44" s="12"/>
      <c r="L44" s="12"/>
      <c r="M44" s="12"/>
      <c r="N44" s="36"/>
      <c r="Q44" s="12"/>
      <c r="R44" s="19">
        <v>5</v>
      </c>
      <c r="S44" s="19">
        <f>TRUNC(R28/U26)</f>
        <v>4</v>
      </c>
      <c r="T44" s="12"/>
      <c r="U44" s="15">
        <f>R28-U26*S44</f>
        <v>9</v>
      </c>
      <c r="V44" s="15">
        <f>TRUNC(IF(U44&gt;T26,S28/U26,0))</f>
        <v>0</v>
      </c>
      <c r="W44" s="12"/>
      <c r="X44" s="12"/>
      <c r="Y44" s="12"/>
      <c r="Z44" s="12"/>
      <c r="AA44" s="12"/>
      <c r="AB44" s="12"/>
      <c r="AC44" s="12"/>
      <c r="AD44" s="36"/>
    </row>
    <row r="45" spans="1:30">
      <c r="A45" s="12"/>
      <c r="B45" s="19">
        <v>6</v>
      </c>
      <c r="C45" s="20">
        <f>C43*C44+F44+F43</f>
        <v>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36"/>
      <c r="Q45" s="12"/>
      <c r="R45" s="19">
        <v>6</v>
      </c>
      <c r="S45" s="20">
        <f>S43*S44+V44+V43</f>
        <v>8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36"/>
    </row>
    <row r="46" spans="1:3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3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36"/>
    </row>
    <row r="57" spans="1:14">
      <c r="A57" s="32" t="s">
        <v>349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2:14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>
      <c r="A60" s="9"/>
      <c r="B60" s="9"/>
      <c r="C60" s="9"/>
      <c r="D60" s="9" t="s">
        <v>347</v>
      </c>
      <c r="E60" s="9" t="s">
        <v>348</v>
      </c>
      <c r="F60" s="9"/>
      <c r="G60" s="9"/>
      <c r="H60" s="9"/>
      <c r="I60" s="9"/>
      <c r="J60" s="9"/>
      <c r="K60" s="9"/>
      <c r="L60" s="9"/>
      <c r="M60" s="9"/>
      <c r="N60" s="9"/>
    </row>
    <row r="61" spans="1:14">
      <c r="A61" s="9"/>
      <c r="B61" s="33">
        <f>全纸筒核价表!S4*10</f>
        <v>370</v>
      </c>
      <c r="C61" s="33">
        <f>全纸筒核价表!T4*10</f>
        <v>340</v>
      </c>
      <c r="D61" s="34">
        <f>B61</f>
        <v>370</v>
      </c>
      <c r="E61" s="33">
        <f>C61</f>
        <v>340</v>
      </c>
      <c r="F61" s="33"/>
      <c r="G61" s="9"/>
      <c r="H61" s="9"/>
      <c r="I61" s="9"/>
      <c r="J61" s="9"/>
      <c r="K61" s="9"/>
      <c r="L61" s="9"/>
      <c r="M61" s="9"/>
      <c r="N61" s="9"/>
    </row>
    <row r="62" spans="1:13">
      <c r="A62" s="9"/>
      <c r="B62" s="9">
        <v>1192</v>
      </c>
      <c r="C62" s="9">
        <v>889</v>
      </c>
      <c r="D62" s="9"/>
      <c r="E62" s="9">
        <f>B62*C62</f>
        <v>1059688</v>
      </c>
      <c r="F62" s="9"/>
      <c r="G62" s="9"/>
      <c r="H62" s="9"/>
      <c r="I62" s="9"/>
      <c r="J62" s="9"/>
      <c r="K62" s="9"/>
      <c r="L62" s="9"/>
      <c r="M62" s="9"/>
    </row>
    <row r="63" spans="1:13">
      <c r="A63" s="9"/>
      <c r="B63" s="9">
        <v>1089</v>
      </c>
      <c r="C63" s="9">
        <v>787</v>
      </c>
      <c r="D63" s="9"/>
      <c r="E63" s="9">
        <f>B63*C63</f>
        <v>857043</v>
      </c>
      <c r="F63" s="9"/>
      <c r="G63" s="9"/>
      <c r="H63" s="9"/>
      <c r="I63" s="9"/>
      <c r="J63" s="9"/>
      <c r="K63" s="9"/>
      <c r="L63" s="9"/>
      <c r="M63" s="9"/>
    </row>
    <row r="64" spans="1:1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>
      <c r="A67" s="9"/>
      <c r="B67" s="37">
        <v>1</v>
      </c>
      <c r="C67" s="38">
        <f>TRUNC(B62/D61)</f>
        <v>3</v>
      </c>
      <c r="D67" s="9"/>
      <c r="E67" s="39">
        <f>B62-D61*C67</f>
        <v>82</v>
      </c>
      <c r="F67" s="39">
        <f>TRUNC(IF(E67&gt;E61,C62/D61,0))</f>
        <v>0</v>
      </c>
      <c r="G67" s="9"/>
      <c r="H67" s="9"/>
      <c r="I67" s="9"/>
      <c r="J67" s="9"/>
      <c r="K67" s="9"/>
      <c r="L67" s="9"/>
      <c r="M67" s="9"/>
    </row>
    <row r="68" spans="1:13">
      <c r="A68" s="9"/>
      <c r="B68" s="38">
        <v>2</v>
      </c>
      <c r="C68" s="38">
        <f>TRUNC(C62/E61)</f>
        <v>2</v>
      </c>
      <c r="D68" s="9"/>
      <c r="E68" s="39">
        <f>C62-E61*C68</f>
        <v>209</v>
      </c>
      <c r="F68" s="39">
        <f>TRUNC(IF(E68&gt;D61,B62/E61,0))</f>
        <v>0</v>
      </c>
      <c r="G68" s="9"/>
      <c r="H68" s="9"/>
      <c r="I68" s="9"/>
      <c r="J68" s="9"/>
      <c r="K68" s="9"/>
      <c r="L68" s="9"/>
      <c r="M68" s="9"/>
    </row>
    <row r="69" spans="1:13">
      <c r="A69" s="9" t="s">
        <v>21</v>
      </c>
      <c r="B69" s="38">
        <v>3</v>
      </c>
      <c r="C69" s="40">
        <f>C68*C67+F67+F68</f>
        <v>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>
      <c r="A70" s="9"/>
      <c r="B70" s="38">
        <v>4</v>
      </c>
      <c r="C70" s="38">
        <f>TRUNC(C62/D61)</f>
        <v>2</v>
      </c>
      <c r="D70" s="9"/>
      <c r="E70" s="39">
        <f>C62-D61*C70</f>
        <v>149</v>
      </c>
      <c r="F70" s="39">
        <f>TRUNC(IF(E70&gt;E61,B62/D61,0))</f>
        <v>0</v>
      </c>
      <c r="G70" s="41">
        <f>MAX(C69,C72)</f>
        <v>6</v>
      </c>
      <c r="H70" s="9"/>
      <c r="I70" s="46">
        <f>E62/G70</f>
        <v>176614.666666667</v>
      </c>
      <c r="J70" s="9"/>
      <c r="K70" s="9"/>
      <c r="L70" s="9"/>
      <c r="M70" s="9"/>
    </row>
    <row r="71" spans="1:13">
      <c r="A71" s="9"/>
      <c r="B71" s="37">
        <v>5</v>
      </c>
      <c r="C71" s="38">
        <f>TRUNC(B62/E61)</f>
        <v>3</v>
      </c>
      <c r="D71" s="9"/>
      <c r="E71" s="39">
        <f>B62-E61*C71</f>
        <v>172</v>
      </c>
      <c r="F71" s="39">
        <f>TRUNC(IF(E71&gt;D61,C62/E61,0))</f>
        <v>0</v>
      </c>
      <c r="G71" s="9"/>
      <c r="H71" s="9"/>
      <c r="I71" s="9"/>
      <c r="J71" s="9"/>
      <c r="K71" s="9"/>
      <c r="L71" s="9"/>
      <c r="M71" s="9"/>
    </row>
    <row r="72" spans="1:13">
      <c r="A72" s="9"/>
      <c r="B72" s="38">
        <v>6</v>
      </c>
      <c r="C72" s="42">
        <f>C70*C71+F70+F71</f>
        <v>6</v>
      </c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>
      <c r="A74" s="9"/>
      <c r="B74" s="9"/>
      <c r="C74" s="9"/>
      <c r="D74" s="9"/>
      <c r="E74" s="9"/>
      <c r="F74" s="9"/>
      <c r="G74" s="9"/>
      <c r="H74" s="9"/>
      <c r="I74" s="9"/>
      <c r="J74" s="9"/>
      <c r="K74" s="47" t="str">
        <f>IF(I78&lt;I70,"正规","大规")</f>
        <v>正规</v>
      </c>
      <c r="L74" s="9">
        <f>IF(I78&lt;I70,G78,G70)</f>
        <v>6</v>
      </c>
      <c r="M74" s="9">
        <f>K75/L74</f>
        <v>0.15</v>
      </c>
    </row>
    <row r="75" spans="1:13">
      <c r="A75" s="9"/>
      <c r="B75" s="43">
        <v>1</v>
      </c>
      <c r="C75" s="43">
        <f>TRUNC(B63/D61)</f>
        <v>2</v>
      </c>
      <c r="D75" s="9"/>
      <c r="E75" s="39">
        <f>B63-D61*C75</f>
        <v>349</v>
      </c>
      <c r="F75" s="39">
        <f>TRUNC(IF(E75&gt;E61,C63/D61,0))</f>
        <v>2</v>
      </c>
      <c r="G75" s="9"/>
      <c r="H75" s="9"/>
      <c r="I75" s="9"/>
      <c r="J75" s="9"/>
      <c r="K75" s="9">
        <f>IF(I78&gt;I70,全纸筒核价表!S8,全纸筒核价表!S7)</f>
        <v>0.9</v>
      </c>
      <c r="L75" s="9"/>
      <c r="M75" s="9"/>
    </row>
    <row r="76" spans="1:13">
      <c r="A76" s="9"/>
      <c r="B76" s="43">
        <v>2</v>
      </c>
      <c r="C76" s="43">
        <f>TRUNC(C63/E61)</f>
        <v>2</v>
      </c>
      <c r="D76" s="9"/>
      <c r="E76" s="39">
        <f>C63-E61*C76</f>
        <v>107</v>
      </c>
      <c r="F76" s="39">
        <f>TRUNC(IF(E76&gt;D61,B63/E61,0))</f>
        <v>0</v>
      </c>
      <c r="G76" s="9"/>
      <c r="H76" s="9"/>
      <c r="I76" s="9"/>
      <c r="J76" s="9"/>
      <c r="K76" s="9"/>
      <c r="L76" s="9"/>
      <c r="M76" s="9"/>
    </row>
    <row r="77" spans="1:13">
      <c r="A77" s="9" t="s">
        <v>20</v>
      </c>
      <c r="B77" s="43">
        <v>3</v>
      </c>
      <c r="C77" s="44">
        <f>C76*C75+F75+F76</f>
        <v>6</v>
      </c>
      <c r="D77" s="9"/>
      <c r="E77" s="45"/>
      <c r="F77" s="45"/>
      <c r="G77" s="9"/>
      <c r="H77" s="9"/>
      <c r="I77" s="9"/>
      <c r="J77" s="9"/>
      <c r="K77" s="9"/>
      <c r="L77" s="9"/>
      <c r="M77" s="9"/>
    </row>
    <row r="78" spans="1:13">
      <c r="A78" s="9"/>
      <c r="B78" s="43">
        <v>4</v>
      </c>
      <c r="C78" s="43">
        <f>TRUNC(C63/D61)</f>
        <v>2</v>
      </c>
      <c r="D78" s="9"/>
      <c r="E78" s="39">
        <f>C63-D61*C78</f>
        <v>47</v>
      </c>
      <c r="F78" s="39">
        <f>TRUNC(IF(E78&gt;E61,B63/D61,0))</f>
        <v>0</v>
      </c>
      <c r="G78" s="41">
        <f>MAX(C77,C80)</f>
        <v>6</v>
      </c>
      <c r="H78" s="9"/>
      <c r="I78" s="46">
        <f>E63/G78</f>
        <v>142840.5</v>
      </c>
      <c r="J78" s="9"/>
      <c r="K78" s="9"/>
      <c r="L78" s="9"/>
      <c r="M78" s="9"/>
    </row>
    <row r="79" spans="1:13">
      <c r="A79" s="9"/>
      <c r="B79" s="43">
        <v>5</v>
      </c>
      <c r="C79" s="43">
        <f>TRUNC(B63/E61)</f>
        <v>3</v>
      </c>
      <c r="D79" s="9"/>
      <c r="E79" s="39">
        <f>B63-E61*C79</f>
        <v>69</v>
      </c>
      <c r="F79" s="39">
        <f>TRUNC(IF(E79&gt;D61,C63/E61,0))</f>
        <v>0</v>
      </c>
      <c r="G79" s="9"/>
      <c r="H79" s="9"/>
      <c r="I79" s="9"/>
      <c r="J79" s="9"/>
      <c r="K79" s="9"/>
      <c r="L79" s="9"/>
      <c r="M79" s="9"/>
    </row>
    <row r="80" spans="1:13">
      <c r="A80" s="9"/>
      <c r="B80" s="43">
        <v>6</v>
      </c>
      <c r="C80" s="44">
        <f>C78*C79+F79+F78</f>
        <v>6</v>
      </c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7" spans="1:14">
      <c r="A87" s="32" t="s">
        <v>350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spans="1:1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>
      <c r="A89" s="9"/>
      <c r="B89" s="9"/>
      <c r="C89" s="9"/>
      <c r="D89" s="9" t="s">
        <v>347</v>
      </c>
      <c r="E89" s="9" t="s">
        <v>348</v>
      </c>
      <c r="F89" s="9"/>
      <c r="G89" s="9"/>
      <c r="H89" s="9"/>
      <c r="I89" s="9"/>
      <c r="J89" s="9"/>
      <c r="K89" s="9"/>
      <c r="L89" s="9"/>
      <c r="M89" s="9"/>
      <c r="N89" s="9"/>
    </row>
    <row r="90" spans="1:14">
      <c r="A90" s="9"/>
      <c r="B90" s="33">
        <f>铁盖纸筒核价表!R5</f>
        <v>210</v>
      </c>
      <c r="C90" s="33">
        <f>铁盖纸筒核价表!S5</f>
        <v>190</v>
      </c>
      <c r="D90" s="34">
        <f>B90</f>
        <v>210</v>
      </c>
      <c r="E90" s="33">
        <f>C90</f>
        <v>190</v>
      </c>
      <c r="F90" s="33"/>
      <c r="G90" s="9"/>
      <c r="H90" s="9"/>
      <c r="I90" s="9"/>
      <c r="J90" s="9"/>
      <c r="K90" s="9"/>
      <c r="L90" s="9"/>
      <c r="M90" s="9"/>
      <c r="N90" s="9"/>
    </row>
    <row r="91" spans="1:13">
      <c r="A91" s="9"/>
      <c r="B91" s="9">
        <v>1192</v>
      </c>
      <c r="C91" s="9">
        <v>889</v>
      </c>
      <c r="D91" s="9"/>
      <c r="E91" s="9">
        <f>B91*C91</f>
        <v>1059688</v>
      </c>
      <c r="F91" s="9"/>
      <c r="G91" s="9"/>
      <c r="H91" s="9"/>
      <c r="I91" s="9"/>
      <c r="J91" s="9"/>
      <c r="K91" s="9"/>
      <c r="L91" s="9"/>
      <c r="M91" s="9"/>
    </row>
    <row r="92" spans="1:13">
      <c r="A92" s="9"/>
      <c r="B92" s="9">
        <v>1089</v>
      </c>
      <c r="C92" s="9">
        <v>787</v>
      </c>
      <c r="D92" s="9"/>
      <c r="E92" s="9">
        <f>B92*C92</f>
        <v>857043</v>
      </c>
      <c r="F92" s="9"/>
      <c r="G92" s="9"/>
      <c r="H92" s="9"/>
      <c r="I92" s="9"/>
      <c r="J92" s="9"/>
      <c r="K92" s="9"/>
      <c r="L92" s="9"/>
      <c r="M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9"/>
      <c r="B96" s="37">
        <v>1</v>
      </c>
      <c r="C96" s="38">
        <f>TRUNC(B91/D90)</f>
        <v>5</v>
      </c>
      <c r="D96" s="9"/>
      <c r="E96" s="39">
        <f>B91-D90*C96</f>
        <v>142</v>
      </c>
      <c r="F96" s="39">
        <f>TRUNC(IF(E96&gt;E90,C91/D90,0))</f>
        <v>0</v>
      </c>
      <c r="G96" s="9"/>
      <c r="H96" s="9"/>
      <c r="I96" s="9"/>
      <c r="J96" s="9"/>
      <c r="K96" s="9"/>
      <c r="L96" s="9"/>
      <c r="M96" s="9"/>
    </row>
    <row r="97" spans="1:13">
      <c r="A97" s="9"/>
      <c r="B97" s="38">
        <v>2</v>
      </c>
      <c r="C97" s="38">
        <f>TRUNC(C91/E90)</f>
        <v>4</v>
      </c>
      <c r="D97" s="9"/>
      <c r="E97" s="39">
        <f>C91-E90*C97</f>
        <v>129</v>
      </c>
      <c r="F97" s="39">
        <f>TRUNC(IF(E97&gt;D90,B91/E90,0))</f>
        <v>0</v>
      </c>
      <c r="G97" s="9"/>
      <c r="H97" s="9"/>
      <c r="I97" s="9"/>
      <c r="J97" s="9"/>
      <c r="K97" s="9"/>
      <c r="L97" s="9"/>
      <c r="M97" s="9"/>
    </row>
    <row r="98" spans="1:13">
      <c r="A98" s="9" t="s">
        <v>21</v>
      </c>
      <c r="B98" s="38">
        <v>3</v>
      </c>
      <c r="C98" s="40">
        <f>C97*C96+F96+F97</f>
        <v>20</v>
      </c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>
      <c r="A99" s="9"/>
      <c r="B99" s="38">
        <v>4</v>
      </c>
      <c r="C99" s="38">
        <f>TRUNC(C91/D90)</f>
        <v>4</v>
      </c>
      <c r="D99" s="9"/>
      <c r="E99" s="39">
        <f>C91-D90*C99</f>
        <v>49</v>
      </c>
      <c r="F99" s="39">
        <f>TRUNC(IF(E99&gt;E90,B91/D90,0))</f>
        <v>0</v>
      </c>
      <c r="G99" s="41">
        <f>MAX(C98,C101)</f>
        <v>24</v>
      </c>
      <c r="H99" s="9"/>
      <c r="I99" s="46">
        <f>E91/G99</f>
        <v>44153.6666666667</v>
      </c>
      <c r="J99" s="9"/>
      <c r="K99" s="9"/>
      <c r="L99" s="9"/>
      <c r="M99" s="9"/>
    </row>
    <row r="100" spans="1:13">
      <c r="A100" s="9"/>
      <c r="B100" s="37">
        <v>5</v>
      </c>
      <c r="C100" s="38">
        <f>TRUNC(B91/E90)</f>
        <v>6</v>
      </c>
      <c r="D100" s="9"/>
      <c r="E100" s="39">
        <f>B91-E90*C100</f>
        <v>52</v>
      </c>
      <c r="F100" s="39">
        <f>TRUNC(IF(E100&gt;D90,C91/E90,0))</f>
        <v>0</v>
      </c>
      <c r="G100" s="9"/>
      <c r="H100" s="9"/>
      <c r="I100" s="9"/>
      <c r="J100" s="9"/>
      <c r="K100" s="9"/>
      <c r="L100" s="9"/>
      <c r="M100" s="9"/>
    </row>
    <row r="101" spans="1:13">
      <c r="A101" s="9"/>
      <c r="B101" s="38">
        <v>6</v>
      </c>
      <c r="C101" s="42">
        <f>C99*C100+F99+F100</f>
        <v>24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47" t="str">
        <f>IF(I107&lt;I99,"正规","大规")</f>
        <v>正规</v>
      </c>
      <c r="L103" s="9">
        <f>IF(I107&lt;I99,G107,G99)</f>
        <v>20</v>
      </c>
      <c r="M103" s="9">
        <f>K104/L103</f>
        <v>0.045</v>
      </c>
    </row>
    <row r="104" spans="1:13">
      <c r="A104" s="9"/>
      <c r="B104" s="43">
        <v>1</v>
      </c>
      <c r="C104" s="43">
        <f>TRUNC(B92/D90)</f>
        <v>5</v>
      </c>
      <c r="D104" s="9"/>
      <c r="E104" s="39">
        <f>B92-D90*C104</f>
        <v>39</v>
      </c>
      <c r="F104" s="39">
        <f>TRUNC(IF(E104&gt;E90,C92/D90,0))</f>
        <v>0</v>
      </c>
      <c r="G104" s="9"/>
      <c r="H104" s="9"/>
      <c r="I104" s="9"/>
      <c r="J104" s="9"/>
      <c r="K104" s="9">
        <f>IF(I107&gt;I99,铁盖纸筒核价表!R9,铁盖纸筒核价表!R8)</f>
        <v>0.9</v>
      </c>
      <c r="L104" s="9"/>
      <c r="M104" s="9"/>
    </row>
    <row r="105" spans="1:13">
      <c r="A105" s="9"/>
      <c r="B105" s="43">
        <v>2</v>
      </c>
      <c r="C105" s="43">
        <f>TRUNC(C92/E90)</f>
        <v>4</v>
      </c>
      <c r="D105" s="9"/>
      <c r="E105" s="39">
        <f>C92-E90*C105</f>
        <v>27</v>
      </c>
      <c r="F105" s="39">
        <f>TRUNC(IF(E105&gt;D90,B92/E90,0))</f>
        <v>0</v>
      </c>
      <c r="G105" s="9"/>
      <c r="H105" s="9"/>
      <c r="I105" s="9"/>
      <c r="J105" s="9"/>
      <c r="K105" s="9"/>
      <c r="L105" s="9"/>
      <c r="M105" s="9"/>
    </row>
    <row r="106" spans="1:13">
      <c r="A106" s="9" t="s">
        <v>20</v>
      </c>
      <c r="B106" s="43">
        <v>3</v>
      </c>
      <c r="C106" s="44">
        <f>C105*C104+F104+F105</f>
        <v>20</v>
      </c>
      <c r="D106" s="9"/>
      <c r="E106" s="45"/>
      <c r="F106" s="45"/>
      <c r="G106" s="9"/>
      <c r="H106" s="9"/>
      <c r="I106" s="9"/>
      <c r="J106" s="9"/>
      <c r="K106" s="9"/>
      <c r="L106" s="9"/>
      <c r="M106" s="9"/>
    </row>
    <row r="107" spans="1:13">
      <c r="A107" s="9"/>
      <c r="B107" s="43">
        <v>4</v>
      </c>
      <c r="C107" s="43">
        <f>TRUNC(C92/D90)</f>
        <v>3</v>
      </c>
      <c r="D107" s="9"/>
      <c r="E107" s="39">
        <f>C92-D90*C107</f>
        <v>157</v>
      </c>
      <c r="F107" s="39">
        <f>TRUNC(IF(E107&gt;E90,B92/D90,0))</f>
        <v>0</v>
      </c>
      <c r="G107" s="41">
        <f>MAX(C106,C109)</f>
        <v>20</v>
      </c>
      <c r="H107" s="9"/>
      <c r="I107" s="46">
        <f>E92/G107</f>
        <v>42852.15</v>
      </c>
      <c r="J107" s="9"/>
      <c r="K107" s="9"/>
      <c r="L107" s="9"/>
      <c r="M107" s="9"/>
    </row>
    <row r="108" spans="1:13">
      <c r="A108" s="9"/>
      <c r="B108" s="43">
        <v>5</v>
      </c>
      <c r="C108" s="43">
        <f>TRUNC(B92/E90)</f>
        <v>5</v>
      </c>
      <c r="D108" s="9"/>
      <c r="E108" s="39">
        <f>B92-E90*C108</f>
        <v>139</v>
      </c>
      <c r="F108" s="39">
        <f>TRUNC(IF(E108&gt;D90,C92/E90,0))</f>
        <v>0</v>
      </c>
      <c r="G108" s="9"/>
      <c r="H108" s="9"/>
      <c r="I108" s="9"/>
      <c r="J108" s="9"/>
      <c r="K108" s="9"/>
      <c r="L108" s="9"/>
      <c r="M108" s="9"/>
    </row>
    <row r="109" spans="1:13">
      <c r="A109" s="9"/>
      <c r="B109" s="43">
        <v>6</v>
      </c>
      <c r="C109" s="44">
        <f>C107*C108+F108+F107</f>
        <v>15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</sheetData>
  <mergeCells count="2">
    <mergeCell ref="A57:N57"/>
    <mergeCell ref="A87:N8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N72"/>
  <sheetViews>
    <sheetView workbookViewId="0">
      <selection activeCell="D7" sqref="D7"/>
    </sheetView>
  </sheetViews>
  <sheetFormatPr defaultColWidth="9" defaultRowHeight="13.5"/>
  <cols>
    <col min="5" max="6" width="9.375"/>
    <col min="7" max="7" width="12.625"/>
    <col min="10" max="10" width="12.625"/>
    <col min="11" max="11" width="9.375"/>
    <col min="12" max="12" width="12.625"/>
  </cols>
  <sheetData>
    <row r="5" spans="4:10">
      <c r="D5" t="s">
        <v>135</v>
      </c>
      <c r="E5" t="s">
        <v>351</v>
      </c>
      <c r="G5" t="s">
        <v>139</v>
      </c>
      <c r="I5" t="s">
        <v>29</v>
      </c>
      <c r="J5" t="s">
        <v>32</v>
      </c>
    </row>
    <row r="6" spans="4:10">
      <c r="D6" s="1">
        <f>铁盖纸筒核价表!C6*10</f>
        <v>152</v>
      </c>
      <c r="E6" s="2">
        <f>D6*3.1415</f>
        <v>477.508</v>
      </c>
      <c r="G6" s="1">
        <f>铁盖纸筒核价表!D6*10</f>
        <v>310</v>
      </c>
      <c r="I6" s="22">
        <v>0.9</v>
      </c>
      <c r="J6" s="22">
        <v>1.1</v>
      </c>
    </row>
    <row r="8" spans="4:5">
      <c r="D8" s="3" t="s">
        <v>352</v>
      </c>
      <c r="E8" s="4">
        <v>300</v>
      </c>
    </row>
    <row r="9" spans="4:5">
      <c r="D9">
        <v>320</v>
      </c>
      <c r="E9">
        <v>505</v>
      </c>
    </row>
    <row r="10" spans="4:10">
      <c r="D10" s="5"/>
      <c r="E10" s="5"/>
      <c r="F10" s="5"/>
      <c r="G10" s="5"/>
      <c r="H10" s="5"/>
      <c r="I10" s="5"/>
      <c r="J10" s="5"/>
    </row>
    <row r="11" spans="4:6">
      <c r="D11" s="6"/>
      <c r="E11" s="6">
        <f>E12*E6</f>
        <v>0</v>
      </c>
      <c r="F11" s="7">
        <f>E11+10</f>
        <v>10</v>
      </c>
    </row>
    <row r="12" spans="4:9">
      <c r="D12" s="6" t="s">
        <v>353</v>
      </c>
      <c r="E12" s="6">
        <f>TRUNC(D9/E6)</f>
        <v>0</v>
      </c>
      <c r="H12" s="7" t="str">
        <f>L41</f>
        <v>正规</v>
      </c>
      <c r="I12" s="7">
        <f>M41</f>
        <v>236</v>
      </c>
    </row>
    <row r="13" spans="4:6">
      <c r="D13" s="6"/>
      <c r="E13" s="6">
        <f>E14*G6</f>
        <v>310</v>
      </c>
      <c r="F13" s="7">
        <f>E13+10</f>
        <v>320</v>
      </c>
    </row>
    <row r="14" spans="4:12">
      <c r="D14" s="6" t="s">
        <v>354</v>
      </c>
      <c r="E14" s="6">
        <f>TRUNC(E9/G6)</f>
        <v>1</v>
      </c>
      <c r="F14" t="s">
        <v>355</v>
      </c>
      <c r="G14" t="s">
        <v>356</v>
      </c>
      <c r="K14" s="23" t="s">
        <v>141</v>
      </c>
      <c r="L14" s="23"/>
    </row>
    <row r="15" spans="4:12">
      <c r="D15" s="6"/>
      <c r="E15" s="8">
        <f>E12*E14</f>
        <v>0</v>
      </c>
      <c r="F15">
        <f>E15*M41</f>
        <v>0</v>
      </c>
      <c r="G15" t="e">
        <f>N41/E15</f>
        <v>#DIV/0!</v>
      </c>
      <c r="K15" s="23" t="s">
        <v>144</v>
      </c>
      <c r="L15" s="23" t="s">
        <v>145</v>
      </c>
    </row>
    <row r="16" spans="4:12">
      <c r="D16" s="5"/>
      <c r="E16" s="5"/>
      <c r="F16" s="5"/>
      <c r="G16" s="5"/>
      <c r="H16" s="5"/>
      <c r="I16" s="5" t="e">
        <f>IF(G21&lt;=G15,F21,F15)</f>
        <v>#DIV/0!</v>
      </c>
      <c r="J16" s="5"/>
      <c r="K16" s="23" t="e">
        <f>IF(G21&lt;G15,F17,F11)</f>
        <v>#DIV/0!</v>
      </c>
      <c r="L16" s="23" t="e">
        <f>IF(G21&lt;G15,F19,F13)</f>
        <v>#DIV/0!</v>
      </c>
    </row>
    <row r="17" spans="4:12">
      <c r="D17" s="6"/>
      <c r="E17" s="6">
        <f>E18*E6</f>
        <v>477.508</v>
      </c>
      <c r="F17" s="7">
        <f>E17+10</f>
        <v>487.508</v>
      </c>
      <c r="K17" s="23" t="s">
        <v>357</v>
      </c>
      <c r="L17" s="23" t="e">
        <f>IF(G21&lt;=G15,E21,E15)</f>
        <v>#DIV/0!</v>
      </c>
    </row>
    <row r="18" spans="4:12">
      <c r="D18" s="6" t="s">
        <v>358</v>
      </c>
      <c r="E18" s="6">
        <f>TRUNC(E9/E6)</f>
        <v>1</v>
      </c>
      <c r="H18" s="7" t="str">
        <f>L66</f>
        <v>大规</v>
      </c>
      <c r="I18" s="7">
        <f>M66</f>
        <v>5</v>
      </c>
      <c r="K18" s="24" t="e">
        <f>IF(G21&lt;=G15,L66,L41)</f>
        <v>#DIV/0!</v>
      </c>
      <c r="L18" s="25" t="e">
        <f>IF(G21&lt;G15,M66,M41)</f>
        <v>#DIV/0!</v>
      </c>
    </row>
    <row r="19" spans="4:12">
      <c r="D19" s="6"/>
      <c r="E19" s="6">
        <f>G6*E20</f>
        <v>310</v>
      </c>
      <c r="F19" s="7">
        <f>E19+10</f>
        <v>320</v>
      </c>
      <c r="K19" s="23"/>
      <c r="L19" s="23"/>
    </row>
    <row r="20" spans="4:12">
      <c r="D20" s="6" t="s">
        <v>359</v>
      </c>
      <c r="E20" s="6">
        <f>TRUNC(D9/G6)</f>
        <v>1</v>
      </c>
      <c r="F20" t="s">
        <v>355</v>
      </c>
      <c r="G20" t="s">
        <v>356</v>
      </c>
      <c r="K20" s="23" t="s">
        <v>360</v>
      </c>
      <c r="L20" s="23" t="e">
        <f>IF(G21&lt;G15,F21,F15)</f>
        <v>#DIV/0!</v>
      </c>
    </row>
    <row r="21" spans="4:12">
      <c r="D21" s="6"/>
      <c r="E21" s="8">
        <f>E18*E20</f>
        <v>1</v>
      </c>
      <c r="F21">
        <f>M66*E21</f>
        <v>5</v>
      </c>
      <c r="G21">
        <f>N66/E21</f>
        <v>0.22</v>
      </c>
      <c r="K21" s="23" t="s">
        <v>361</v>
      </c>
      <c r="L21" s="23" t="e">
        <f>IF(G21&lt;G15,G21,G15)</f>
        <v>#DIV/0!</v>
      </c>
    </row>
    <row r="27" spans="2:14">
      <c r="B27" s="9"/>
      <c r="C27" s="9"/>
      <c r="D27" s="9"/>
      <c r="E27" s="9" t="s">
        <v>145</v>
      </c>
      <c r="F27" s="9" t="s">
        <v>144</v>
      </c>
      <c r="G27" s="9"/>
      <c r="H27" s="9"/>
      <c r="I27" s="9"/>
      <c r="J27" s="9"/>
      <c r="K27" s="9"/>
      <c r="L27" s="9"/>
      <c r="M27" s="9"/>
      <c r="N27" s="9"/>
    </row>
    <row r="28" spans="2:14">
      <c r="B28" s="9"/>
      <c r="C28" s="10"/>
      <c r="D28" s="10"/>
      <c r="E28" s="11">
        <f>F11</f>
        <v>10</v>
      </c>
      <c r="F28" s="10">
        <f>F13</f>
        <v>320</v>
      </c>
      <c r="G28" s="10"/>
      <c r="H28" s="9"/>
      <c r="I28" s="9"/>
      <c r="J28" s="9"/>
      <c r="K28" s="9"/>
      <c r="L28" s="9"/>
      <c r="M28" s="9"/>
      <c r="N28" s="9"/>
    </row>
    <row r="29" spans="2:14">
      <c r="B29" s="12"/>
      <c r="C29" s="12">
        <v>1192</v>
      </c>
      <c r="D29" s="12">
        <v>889</v>
      </c>
      <c r="E29" s="12"/>
      <c r="F29" s="12">
        <f>C29*D29</f>
        <v>1059688</v>
      </c>
      <c r="G29" s="12"/>
      <c r="H29" s="12"/>
      <c r="I29" s="12"/>
      <c r="J29" s="12"/>
      <c r="K29" s="12"/>
      <c r="L29" s="12"/>
      <c r="M29" s="12"/>
      <c r="N29" s="12"/>
    </row>
    <row r="30" spans="2:14">
      <c r="B30" s="12"/>
      <c r="C30" s="12">
        <v>1089</v>
      </c>
      <c r="D30" s="12">
        <v>787</v>
      </c>
      <c r="E30" s="12"/>
      <c r="F30" s="12">
        <f>C30*D30</f>
        <v>857043</v>
      </c>
      <c r="G30" s="12"/>
      <c r="H30" s="12"/>
      <c r="I30" s="12"/>
      <c r="J30" s="12"/>
      <c r="K30" s="12"/>
      <c r="L30" s="12"/>
      <c r="M30" s="12"/>
      <c r="N30" s="12"/>
    </row>
    <row r="31" spans="2:14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4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2:14">
      <c r="B34" s="12"/>
      <c r="C34" s="13">
        <v>1</v>
      </c>
      <c r="D34" s="14">
        <f>TRUNC(C29/E28)</f>
        <v>119</v>
      </c>
      <c r="E34" s="12"/>
      <c r="F34" s="15">
        <f>C29-E28*D34</f>
        <v>2</v>
      </c>
      <c r="G34" s="15">
        <f>TRUNC(IF(F34&gt;F28,D29/E28,0))</f>
        <v>0</v>
      </c>
      <c r="H34" s="12"/>
      <c r="I34" s="12"/>
      <c r="J34" s="12"/>
      <c r="K34" s="12"/>
      <c r="L34" s="12"/>
      <c r="M34" s="12"/>
      <c r="N34" s="12"/>
    </row>
    <row r="35" spans="2:14">
      <c r="B35" s="12"/>
      <c r="C35" s="14">
        <v>2</v>
      </c>
      <c r="D35" s="14">
        <f>TRUNC(D29/F28)</f>
        <v>2</v>
      </c>
      <c r="E35" s="12"/>
      <c r="F35" s="15">
        <f>D29-F28*D35</f>
        <v>249</v>
      </c>
      <c r="G35" s="15">
        <f>TRUNC(IF(F35&gt;E28,C29/F28,0))</f>
        <v>3</v>
      </c>
      <c r="H35" s="12"/>
      <c r="I35" s="12"/>
      <c r="J35" s="12"/>
      <c r="K35" s="12"/>
      <c r="L35" s="12"/>
      <c r="M35" s="12"/>
      <c r="N35" s="12"/>
    </row>
    <row r="36" spans="2:14">
      <c r="B36" s="12"/>
      <c r="C36" s="14">
        <v>3</v>
      </c>
      <c r="D36" s="16">
        <f>D35*D34+G34+G35</f>
        <v>241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4">
      <c r="B37" s="12"/>
      <c r="C37" s="14">
        <v>4</v>
      </c>
      <c r="D37" s="14">
        <f>TRUNC(D29/E28)</f>
        <v>88</v>
      </c>
      <c r="E37" s="12"/>
      <c r="F37" s="15">
        <f>D29-E28*D37</f>
        <v>9</v>
      </c>
      <c r="G37" s="15">
        <f>TRUNC(IF(F37&gt;F28,C29/E28,0))</f>
        <v>0</v>
      </c>
      <c r="H37" s="17">
        <f>MAX(D36,D39)</f>
        <v>266</v>
      </c>
      <c r="I37" s="12"/>
      <c r="J37" s="26">
        <f>F29/H37</f>
        <v>3983.78947368421</v>
      </c>
      <c r="K37" s="12"/>
      <c r="L37" s="12"/>
      <c r="M37" s="12"/>
      <c r="N37" s="12"/>
    </row>
    <row r="38" spans="2:14">
      <c r="B38" s="12"/>
      <c r="C38" s="13">
        <v>5</v>
      </c>
      <c r="D38" s="14">
        <f>TRUNC(C29/F28)</f>
        <v>3</v>
      </c>
      <c r="E38" s="12"/>
      <c r="F38" s="15">
        <f>C29-F28*D38</f>
        <v>232</v>
      </c>
      <c r="G38" s="15">
        <f>TRUNC(IF(F38&gt;E28,D29/F28,0))</f>
        <v>2</v>
      </c>
      <c r="H38" s="12"/>
      <c r="I38" s="12"/>
      <c r="J38" s="12"/>
      <c r="K38" s="12"/>
      <c r="L38" s="12"/>
      <c r="M38" s="12"/>
      <c r="N38" s="12"/>
    </row>
    <row r="39" spans="2:14">
      <c r="B39" s="12"/>
      <c r="C39" s="14">
        <v>6</v>
      </c>
      <c r="D39" s="18">
        <f>D37*D38+G37+G38</f>
        <v>266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2:14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2:1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27" t="str">
        <f>IF(J45&lt;J37,"正规","大规")</f>
        <v>正规</v>
      </c>
      <c r="M41" s="28">
        <f>IF(J45&lt;J37,H45,H37)</f>
        <v>236</v>
      </c>
      <c r="N41" s="28">
        <f>L42/M41</f>
        <v>0.0038135593220339</v>
      </c>
    </row>
    <row r="42" spans="2:14">
      <c r="B42" s="12"/>
      <c r="C42" s="19">
        <v>1</v>
      </c>
      <c r="D42" s="19">
        <f>TRUNC(C30/E28)</f>
        <v>108</v>
      </c>
      <c r="E42" s="12"/>
      <c r="F42" s="15">
        <f>C30-E28*D42</f>
        <v>9</v>
      </c>
      <c r="G42" s="15">
        <f>TRUNC(IF(F42&gt;F28,D30/E28,0))</f>
        <v>0</v>
      </c>
      <c r="H42" s="12"/>
      <c r="I42" s="12"/>
      <c r="J42" s="12"/>
      <c r="K42" s="12"/>
      <c r="L42" s="12">
        <f>IF(J45&gt;J37,J6,I6)</f>
        <v>0.9</v>
      </c>
      <c r="M42" s="12"/>
      <c r="N42" s="12"/>
    </row>
    <row r="43" spans="2:14">
      <c r="B43" s="12"/>
      <c r="C43" s="19">
        <v>2</v>
      </c>
      <c r="D43" s="19">
        <f>TRUNC(D30/F28)</f>
        <v>2</v>
      </c>
      <c r="E43" s="12"/>
      <c r="F43" s="15">
        <f>D30-F28*D43</f>
        <v>147</v>
      </c>
      <c r="G43" s="15">
        <f>TRUNC(IF(F43&gt;E28,C30/F28,0))</f>
        <v>3</v>
      </c>
      <c r="H43" s="12"/>
      <c r="I43" s="12"/>
      <c r="J43" s="12"/>
      <c r="K43" s="12"/>
      <c r="L43" s="12"/>
      <c r="M43" s="12"/>
      <c r="N43" s="12"/>
    </row>
    <row r="44" spans="2:14">
      <c r="B44" s="12"/>
      <c r="C44" s="19">
        <v>3</v>
      </c>
      <c r="D44" s="20">
        <f>D43*D42+G42+G43</f>
        <v>219</v>
      </c>
      <c r="E44" s="12"/>
      <c r="F44" s="21"/>
      <c r="G44" s="21"/>
      <c r="H44" s="12"/>
      <c r="I44" s="12"/>
      <c r="J44" s="12"/>
      <c r="K44" s="12"/>
      <c r="L44" s="12"/>
      <c r="M44" s="12"/>
      <c r="N44" s="12"/>
    </row>
    <row r="45" spans="2:14">
      <c r="B45" s="12"/>
      <c r="C45" s="19">
        <v>4</v>
      </c>
      <c r="D45" s="19">
        <f>TRUNC(D30/E28)</f>
        <v>78</v>
      </c>
      <c r="E45" s="12"/>
      <c r="F45" s="15">
        <f>D30-E28*D45</f>
        <v>7</v>
      </c>
      <c r="G45" s="15">
        <f>TRUNC(IF(F45&gt;F28,C30/E28,0))</f>
        <v>0</v>
      </c>
      <c r="H45" s="17">
        <f>MAX(D44,D47)</f>
        <v>236</v>
      </c>
      <c r="I45" s="12"/>
      <c r="J45" s="26">
        <f>F30/H45</f>
        <v>3631.53813559322</v>
      </c>
      <c r="K45" s="12"/>
      <c r="L45" s="12"/>
      <c r="M45" s="12"/>
      <c r="N45" s="12"/>
    </row>
    <row r="46" spans="2:14">
      <c r="B46" s="12"/>
      <c r="C46" s="19">
        <v>5</v>
      </c>
      <c r="D46" s="19">
        <f>TRUNC(C30/F28)</f>
        <v>3</v>
      </c>
      <c r="E46" s="12"/>
      <c r="F46" s="15">
        <f>C30-F28*D46</f>
        <v>129</v>
      </c>
      <c r="G46" s="15">
        <f>TRUNC(IF(F46&gt;E28,D30/F28,0))</f>
        <v>2</v>
      </c>
      <c r="H46" s="12"/>
      <c r="I46" s="12"/>
      <c r="J46" s="12"/>
      <c r="K46" s="12"/>
      <c r="L46" s="12"/>
      <c r="M46" s="12"/>
      <c r="N46" s="12"/>
    </row>
    <row r="47" spans="2:14">
      <c r="B47" s="12"/>
      <c r="C47" s="19">
        <v>6</v>
      </c>
      <c r="D47" s="20">
        <f>D45*D46+G46+G45</f>
        <v>236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52" spans="2:14">
      <c r="B52" s="9"/>
      <c r="C52" s="9"/>
      <c r="D52" s="9"/>
      <c r="E52" s="9" t="s">
        <v>145</v>
      </c>
      <c r="F52" s="9" t="s">
        <v>144</v>
      </c>
      <c r="G52" s="9"/>
      <c r="H52" s="9"/>
      <c r="I52" s="9"/>
      <c r="J52" s="9"/>
      <c r="K52" s="9"/>
      <c r="L52" s="9"/>
      <c r="M52" s="9"/>
      <c r="N52" s="9"/>
    </row>
    <row r="53" spans="2:14">
      <c r="B53" s="9"/>
      <c r="C53" s="10"/>
      <c r="D53" s="10"/>
      <c r="E53" s="11">
        <f>F17</f>
        <v>487.508</v>
      </c>
      <c r="F53" s="10">
        <f>F19</f>
        <v>320</v>
      </c>
      <c r="G53" s="10"/>
      <c r="H53" s="9"/>
      <c r="I53" s="9"/>
      <c r="J53" s="9"/>
      <c r="K53" s="9"/>
      <c r="L53" s="9"/>
      <c r="M53" s="9"/>
      <c r="N53" s="9"/>
    </row>
    <row r="54" spans="2:14">
      <c r="B54" s="12"/>
      <c r="C54" s="12">
        <v>1192</v>
      </c>
      <c r="D54" s="12">
        <v>889</v>
      </c>
      <c r="E54" s="12"/>
      <c r="F54" s="12">
        <f>C54*D54</f>
        <v>1059688</v>
      </c>
      <c r="G54" s="12"/>
      <c r="H54" s="12"/>
      <c r="I54" s="12"/>
      <c r="J54" s="12"/>
      <c r="K54" s="12"/>
      <c r="L54" s="12"/>
      <c r="M54" s="12"/>
      <c r="N54" s="12"/>
    </row>
    <row r="55" spans="2:14">
      <c r="B55" s="12"/>
      <c r="C55" s="12">
        <v>1089</v>
      </c>
      <c r="D55" s="12">
        <v>787</v>
      </c>
      <c r="E55" s="12"/>
      <c r="F55" s="12">
        <f>C55*D55</f>
        <v>857043</v>
      </c>
      <c r="G55" s="12"/>
      <c r="H55" s="12"/>
      <c r="I55" s="12"/>
      <c r="J55" s="12"/>
      <c r="K55" s="12"/>
      <c r="L55" s="12"/>
      <c r="M55" s="12"/>
      <c r="N55" s="12"/>
    </row>
    <row r="56" spans="2:14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2:14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4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>
      <c r="B59" s="12"/>
      <c r="C59" s="13">
        <v>1</v>
      </c>
      <c r="D59" s="14">
        <f>TRUNC(C54/E53)</f>
        <v>2</v>
      </c>
      <c r="E59" s="12"/>
      <c r="F59" s="15">
        <f>C54-E53*D59</f>
        <v>216.984</v>
      </c>
      <c r="G59" s="15">
        <f>TRUNC(IF(F59&gt;F53,D54/E53,0))</f>
        <v>0</v>
      </c>
      <c r="H59" s="12"/>
      <c r="I59" s="12"/>
      <c r="J59" s="12"/>
      <c r="K59" s="12"/>
      <c r="L59" s="12"/>
      <c r="M59" s="12"/>
      <c r="N59" s="12"/>
    </row>
    <row r="60" spans="2:14">
      <c r="B60" s="12"/>
      <c r="C60" s="14">
        <v>2</v>
      </c>
      <c r="D60" s="14">
        <f>TRUNC(D54/F53)</f>
        <v>2</v>
      </c>
      <c r="E60" s="12"/>
      <c r="F60" s="15">
        <f>D54-F53*D60</f>
        <v>249</v>
      </c>
      <c r="G60" s="15">
        <f>TRUNC(IF(F60&gt;E53,C54/F53,0))</f>
        <v>0</v>
      </c>
      <c r="H60" s="12"/>
      <c r="I60" s="12"/>
      <c r="J60" s="12"/>
      <c r="K60" s="12"/>
      <c r="L60" s="12"/>
      <c r="M60" s="12"/>
      <c r="N60" s="12"/>
    </row>
    <row r="61" spans="2:14">
      <c r="B61" s="12"/>
      <c r="C61" s="14">
        <v>3</v>
      </c>
      <c r="D61" s="16">
        <f>D60*D59+G59+G60</f>
        <v>4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>
      <c r="B62" s="12"/>
      <c r="C62" s="14">
        <v>4</v>
      </c>
      <c r="D62" s="14">
        <f>TRUNC(D54/E53)</f>
        <v>1</v>
      </c>
      <c r="E62" s="12"/>
      <c r="F62" s="15">
        <f>D54-E53*D62</f>
        <v>401.492</v>
      </c>
      <c r="G62" s="15">
        <f>TRUNC(IF(F62&gt;F53,C54/E53,0))</f>
        <v>2</v>
      </c>
      <c r="H62" s="17">
        <f>MAX(D61,D64)</f>
        <v>5</v>
      </c>
      <c r="I62" s="12"/>
      <c r="J62" s="26">
        <f>F54/H62</f>
        <v>211937.6</v>
      </c>
      <c r="K62" s="12"/>
      <c r="L62" s="12"/>
      <c r="M62" s="12"/>
      <c r="N62" s="12"/>
    </row>
    <row r="63" spans="2:14">
      <c r="B63" s="12"/>
      <c r="C63" s="13">
        <v>5</v>
      </c>
      <c r="D63" s="14">
        <f>TRUNC(C54/F53)</f>
        <v>3</v>
      </c>
      <c r="E63" s="12"/>
      <c r="F63" s="15">
        <f>C54-F53*D63</f>
        <v>232</v>
      </c>
      <c r="G63" s="15">
        <f>TRUNC(IF(F63&gt;E53,D54/F53,0))</f>
        <v>0</v>
      </c>
      <c r="H63" s="12"/>
      <c r="I63" s="12"/>
      <c r="J63" s="12"/>
      <c r="K63" s="12"/>
      <c r="L63" s="12"/>
      <c r="M63" s="12"/>
      <c r="N63" s="12"/>
    </row>
    <row r="64" spans="2:14">
      <c r="B64" s="12"/>
      <c r="C64" s="14">
        <v>6</v>
      </c>
      <c r="D64" s="18">
        <f>D62*D63+G62+G63</f>
        <v>5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2:14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4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27" t="str">
        <f>IF(J70&lt;J62,"正规","大规")</f>
        <v>大规</v>
      </c>
      <c r="M66" s="28">
        <f>IF(J70&lt;J62,H70,H62)</f>
        <v>5</v>
      </c>
      <c r="N66" s="28">
        <f>L67/M66</f>
        <v>0.22</v>
      </c>
    </row>
    <row r="67" spans="2:14">
      <c r="B67" s="12"/>
      <c r="C67" s="19">
        <v>1</v>
      </c>
      <c r="D67" s="19">
        <f>TRUNC(C55/E53)</f>
        <v>2</v>
      </c>
      <c r="E67" s="12"/>
      <c r="F67" s="15">
        <f>C55-E53*D67</f>
        <v>113.984</v>
      </c>
      <c r="G67" s="15">
        <f>TRUNC(IF(F67&gt;F53,D55/E53,0))</f>
        <v>0</v>
      </c>
      <c r="H67" s="12"/>
      <c r="I67" s="12"/>
      <c r="J67" s="12"/>
      <c r="K67" s="12"/>
      <c r="L67" s="12">
        <f>IF(J70&gt;J62,J6,I6)</f>
        <v>1.1</v>
      </c>
      <c r="M67" s="12"/>
      <c r="N67" s="12"/>
    </row>
    <row r="68" spans="2:14">
      <c r="B68" s="12"/>
      <c r="C68" s="19">
        <v>2</v>
      </c>
      <c r="D68" s="19">
        <f>TRUNC(D55/F53)</f>
        <v>2</v>
      </c>
      <c r="E68" s="12"/>
      <c r="F68" s="15">
        <f>D55-F53*D68</f>
        <v>147</v>
      </c>
      <c r="G68" s="15">
        <f>TRUNC(IF(F68&gt;E53,C55/F53,0))</f>
        <v>0</v>
      </c>
      <c r="H68" s="12"/>
      <c r="I68" s="12"/>
      <c r="J68" s="12"/>
      <c r="K68" s="12"/>
      <c r="L68" s="12"/>
      <c r="M68" s="12"/>
      <c r="N68" s="12"/>
    </row>
    <row r="69" spans="2:14">
      <c r="B69" s="12"/>
      <c r="C69" s="19">
        <v>3</v>
      </c>
      <c r="D69" s="20">
        <f>D68*D67+G67+G68</f>
        <v>4</v>
      </c>
      <c r="E69" s="12"/>
      <c r="F69" s="21"/>
      <c r="G69" s="21"/>
      <c r="H69" s="12"/>
      <c r="I69" s="12"/>
      <c r="J69" s="12"/>
      <c r="K69" s="12"/>
      <c r="L69" s="12"/>
      <c r="M69" s="12"/>
      <c r="N69" s="12"/>
    </row>
    <row r="70" spans="1:14">
      <c r="A70" s="12"/>
      <c r="B70" s="12"/>
      <c r="C70" s="19">
        <v>4</v>
      </c>
      <c r="D70" s="19">
        <f>TRUNC(D55/E53)</f>
        <v>1</v>
      </c>
      <c r="E70" s="12"/>
      <c r="F70" s="15">
        <f>D55-E53*D70</f>
        <v>299.492</v>
      </c>
      <c r="G70" s="15">
        <f>TRUNC(IF(F70&gt;F53,C55/E53,0))</f>
        <v>0</v>
      </c>
      <c r="H70" s="17">
        <f>MAX(D69,D72)</f>
        <v>4</v>
      </c>
      <c r="I70" s="12"/>
      <c r="J70" s="26">
        <f>F55/H70</f>
        <v>214260.75</v>
      </c>
      <c r="K70" s="12"/>
      <c r="L70" s="12"/>
      <c r="M70" s="12"/>
      <c r="N70" s="12"/>
    </row>
    <row r="71" spans="2:14">
      <c r="B71" s="12"/>
      <c r="C71" s="19">
        <v>5</v>
      </c>
      <c r="D71" s="19">
        <f>TRUNC(C55/F53)</f>
        <v>3</v>
      </c>
      <c r="E71" s="12"/>
      <c r="F71" s="15">
        <f>C55-F53*D71</f>
        <v>129</v>
      </c>
      <c r="G71" s="15">
        <f>TRUNC(IF(F71&gt;E53,D55/F53,0))</f>
        <v>0</v>
      </c>
      <c r="H71" s="12"/>
      <c r="I71" s="12"/>
      <c r="J71" s="12"/>
      <c r="K71" s="12"/>
      <c r="L71" s="12"/>
      <c r="M71" s="12"/>
      <c r="N71" s="12"/>
    </row>
    <row r="72" spans="2:14">
      <c r="B72" s="12"/>
      <c r="C72" s="19">
        <v>6</v>
      </c>
      <c r="D72" s="20">
        <f>D70*D71+G71+G70</f>
        <v>3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0" sqref="J30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7" workbookViewId="0">
      <selection activeCell="A30" sqref="A3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全纸筒核价表</vt:lpstr>
      <vt:lpstr>铁盖纸筒核价表</vt:lpstr>
      <vt:lpstr>Sheet2</vt:lpstr>
      <vt:lpstr>铁盖价格表</vt:lpstr>
      <vt:lpstr>面纸开数</vt:lpstr>
      <vt:lpstr>印面价格</vt:lpstr>
      <vt:lpstr>印面价格2</vt:lpstr>
      <vt:lpstr>各类纸筒价格对比表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中国人</cp:lastModifiedBy>
  <dcterms:created xsi:type="dcterms:W3CDTF">2024-08-24T03:12:00Z</dcterms:created>
  <dcterms:modified xsi:type="dcterms:W3CDTF">2026-04-10T08:39:16Z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1D1FC8CAE8ED414FBF0A13B46CF5691B_13</vt:lpwstr>
  </property>
  <property fmtid="{D5CDD505-2E9C-101B-9397-08002B2CF9AE}" pid="3" name="KSOProductBuildVer">
    <vt:lpwstr>2052-12.1.0.16120</vt:lpwstr>
  </property>
</Properties>
</file>